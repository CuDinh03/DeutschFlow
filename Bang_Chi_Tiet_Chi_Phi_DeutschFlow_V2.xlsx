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2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inhcu/Downloads/"/>
    </mc:Choice>
  </mc:AlternateContent>
  <xr:revisionPtr revIDLastSave="0" documentId="13_ncr:1_{FFC4C5E5-631B-4E42-BC52-12A111E0EC74}" xr6:coauthVersionLast="47" xr6:coauthVersionMax="47" xr10:uidLastSave="{00000000-0000-0000-0000-000000000000}"/>
  <bookViews>
    <workbookView xWindow="0" yWindow="500" windowWidth="33600" windowHeight="19580" activeTab="3" xr2:uid="{00000000-000D-0000-FFFF-FFFF00000000}"/>
  </bookViews>
  <sheets>
    <sheet name="Chi tiết Vận hành ( tháng 4 )" sheetId="1" r:id="rId1"/>
    <sheet name="Chi tiết Vận hành ( tháng 5 )" sheetId="4" r:id="rId2"/>
    <sheet name="Chi tiết Vận hành ( tháng 6 )" sheetId="6" r:id="rId3"/>
    <sheet name="Tổng chi phí đã sử dụng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B3" i="5"/>
  <c r="C3" i="5"/>
  <c r="C2" i="5"/>
  <c r="I36" i="4"/>
  <c r="G36" i="4"/>
  <c r="G36" i="6"/>
  <c r="I36" i="6"/>
  <c r="G35" i="6"/>
  <c r="G34" i="6"/>
  <c r="G33" i="6"/>
  <c r="G31" i="6"/>
  <c r="G30" i="6"/>
  <c r="G29" i="6"/>
  <c r="G27" i="6"/>
  <c r="G26" i="6"/>
  <c r="G25" i="6"/>
  <c r="G24" i="6"/>
  <c r="G23" i="6"/>
  <c r="G21" i="6"/>
  <c r="G20" i="6"/>
  <c r="G19" i="6"/>
  <c r="G18" i="6"/>
  <c r="G17" i="6"/>
  <c r="G16" i="6"/>
  <c r="G14" i="6"/>
  <c r="G13" i="6"/>
  <c r="G12" i="6"/>
  <c r="G11" i="6"/>
  <c r="G10" i="6"/>
  <c r="G8" i="6"/>
  <c r="G7" i="6"/>
  <c r="G6" i="6"/>
  <c r="G5" i="6"/>
  <c r="G4" i="6"/>
  <c r="G3" i="6"/>
  <c r="G35" i="4"/>
  <c r="G34" i="4"/>
  <c r="G33" i="4"/>
  <c r="G31" i="4"/>
  <c r="G30" i="4"/>
  <c r="G29" i="4"/>
  <c r="G27" i="4"/>
  <c r="G26" i="4"/>
  <c r="G25" i="4"/>
  <c r="G24" i="4"/>
  <c r="G23" i="4"/>
  <c r="G21" i="4"/>
  <c r="G20" i="4"/>
  <c r="G19" i="4"/>
  <c r="G18" i="4"/>
  <c r="G17" i="4"/>
  <c r="G16" i="4"/>
  <c r="G14" i="4"/>
  <c r="G13" i="4"/>
  <c r="G12" i="4"/>
  <c r="G11" i="4"/>
  <c r="G10" i="4"/>
  <c r="G8" i="4"/>
  <c r="G7" i="4"/>
  <c r="G6" i="4"/>
  <c r="G5" i="4"/>
  <c r="G4" i="4"/>
  <c r="G3" i="4"/>
  <c r="G24" i="1"/>
  <c r="G25" i="1"/>
  <c r="G26" i="1"/>
  <c r="G27" i="1"/>
  <c r="G23" i="1"/>
  <c r="G21" i="1"/>
  <c r="G19" i="1"/>
  <c r="G20" i="1"/>
  <c r="G18" i="1"/>
  <c r="G17" i="1"/>
  <c r="G10" i="1"/>
  <c r="G12" i="1"/>
  <c r="G13" i="1"/>
  <c r="G14" i="1"/>
  <c r="G4" i="1"/>
  <c r="G5" i="1"/>
  <c r="G6" i="1"/>
  <c r="G7" i="1"/>
  <c r="G8" i="1"/>
  <c r="G3" i="1"/>
  <c r="G36" i="1" s="1"/>
  <c r="B2" i="5" s="1"/>
  <c r="G16" i="1"/>
  <c r="G35" i="1"/>
  <c r="G34" i="1"/>
  <c r="G33" i="1"/>
  <c r="G31" i="1"/>
  <c r="G30" i="1"/>
  <c r="G29" i="1"/>
  <c r="G11" i="1"/>
  <c r="C4" i="5" l="1"/>
  <c r="C11" i="5" s="1"/>
  <c r="B11" i="5"/>
</calcChain>
</file>

<file path=xl/sharedStrings.xml><?xml version="1.0" encoding="utf-8"?>
<sst xmlns="http://schemas.openxmlformats.org/spreadsheetml/2006/main" count="255" uniqueCount="91">
  <si>
    <t>STT</t>
  </si>
  <si>
    <t>Nhóm Chi Phí</t>
  </si>
  <si>
    <t>Hạng mục chi tiết</t>
  </si>
  <si>
    <t>Mô tả / Đơn vị tính</t>
  </si>
  <si>
    <t>Số lượng</t>
  </si>
  <si>
    <t>Đơn giá (VNĐ)</t>
  </si>
  <si>
    <t>Thành tiền/Tháng</t>
  </si>
  <si>
    <t>Ghi chú của bạn</t>
  </si>
  <si>
    <t>1. HẠ TẦNG CLOUD &amp; SERVER (AWS)</t>
  </si>
  <si>
    <t>AWS RDS (MySQL)</t>
  </si>
  <si>
    <t>Database chính lưu trữ user, từ vựng, tiến độ</t>
  </si>
  <si>
    <t>AWS Amplify</t>
  </si>
  <si>
    <t>Hosting cho Frontend</t>
  </si>
  <si>
    <t>Backend Server (EC2/ECS)</t>
  </si>
  <si>
    <t>Chạy core xử lý cho hệ thống (Java Spring Boot, Microservices)</t>
  </si>
  <si>
    <t>AWS S3</t>
  </si>
  <si>
    <t>Lưu trữ file âm thanh, hình ảnh bài học, backup</t>
  </si>
  <si>
    <t>Data Transfer (Băng thông)</t>
  </si>
  <si>
    <t>Phí tải dữ liệu ra khỏi AWS</t>
  </si>
  <si>
    <t>Domain &amp; DNS (Cloudflare)</t>
  </si>
  <si>
    <t>Tên miền, chứng chỉ bảo mật SSL, WAF</t>
  </si>
  <si>
    <t>2. DỊCH VỤ API &amp; BÊN THỨ 3</t>
  </si>
  <si>
    <t>API Nhận diện giọng nói</t>
  </si>
  <si>
    <t>API Dịch thuật / NLP</t>
  </si>
  <si>
    <t>Email Service (SES/SendGrid)</t>
  </si>
  <si>
    <t>Gửi email xác thực, reset password, thông báo</t>
  </si>
  <si>
    <t>SMS / OTP</t>
  </si>
  <si>
    <t>3. CÔNG CỤ DEV &amp; QUẢN TRỊ NỘI BỘ</t>
  </si>
  <si>
    <t>AI Coding Tools</t>
  </si>
  <si>
    <t>4. NHÂN SỰ &amp; CHUYÊN MÔN</t>
  </si>
  <si>
    <t>Back-End Developer</t>
  </si>
  <si>
    <t>Maintain hệ thống, tối ưu query MySQL, viết API mới</t>
  </si>
  <si>
    <t>Front-End / Mobile Dev</t>
  </si>
  <si>
    <t>Cập nhật UI/UX, sửa lỗi hiển thị</t>
  </si>
  <si>
    <t>Giáo viên / Chuyên gia Tiếng Đức</t>
  </si>
  <si>
    <t>Biên soạn hệ thống ngữ pháp, từ vựng theo chuẩn</t>
  </si>
  <si>
    <t>Thu âm (Voiceover)</t>
  </si>
  <si>
    <t>Chăm sóc khách hàng (CSKH)</t>
  </si>
  <si>
    <t>Hỗ trợ học viên, giải đáp thắc mắc</t>
  </si>
  <si>
    <t>5. MARKETING &amp; PHÂN PHỐI</t>
  </si>
  <si>
    <t>Quảng cáo Digital (Ads)</t>
  </si>
  <si>
    <t>Ngân sách chạy Facebook, TikTok, Google Ads</t>
  </si>
  <si>
    <t>Sản xuất Media</t>
  </si>
  <si>
    <t>Làm video ngắn, thiết kế banner truyền thông</t>
  </si>
  <si>
    <t>Công cụ Marketing</t>
  </si>
  <si>
    <t>Phần mềm gửi Email Marketing tự động (Mailchimp...)</t>
  </si>
  <si>
    <t>6. PHÍ GIAO DỊCH &amp; VẬN HÀNH KHÁC</t>
  </si>
  <si>
    <t>Phí cổng thanh toán</t>
  </si>
  <si>
    <t>VNPay, Momo, Stripe (khoảng 1.5% - 3%)</t>
  </si>
  <si>
    <t>Kế toán / Pháp lý</t>
  </si>
  <si>
    <t>Dịch vụ khai báo thuế hàng tháng</t>
  </si>
  <si>
    <t>Chi phí phòng ngừa rủi ro</t>
  </si>
  <si>
    <t>Quỹ dự phòng server quá tải, sự cố</t>
  </si>
  <si>
    <t>TỔNG CHI PHÍ DỰ KIẾN (VNĐ/THÁNG)</t>
  </si>
  <si>
    <t>Cursor</t>
  </si>
  <si>
    <t>Antigravity</t>
  </si>
  <si>
    <t>Groq API</t>
  </si>
  <si>
    <t>Gemini Pro</t>
  </si>
  <si>
    <t xml:space="preserve">Lama 4 </t>
  </si>
  <si>
    <t>Intellj</t>
  </si>
  <si>
    <t>Figma</t>
  </si>
  <si>
    <t>Collab Google</t>
  </si>
  <si>
    <t>Eleven Lab</t>
  </si>
  <si>
    <t>IDE</t>
  </si>
  <si>
    <t>Xác thực số điện thoại</t>
  </si>
  <si>
    <t xml:space="preserve"> a</t>
  </si>
  <si>
    <t>AWS RDS (Postgres SQL)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</si>
  <si>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</si>
  <si>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</si>
  <si>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</si>
  <si>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</si>
  <si>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</si>
  <si>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</si>
  <si>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</si>
  <si>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</si>
  <si>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</si>
  <si>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20$</t>
  </si>
  <si>
    <t>45$</t>
  </si>
  <si>
    <t>Tính theo năm</t>
  </si>
  <si>
    <t>Nhân công triển khai công việc</t>
  </si>
  <si>
    <t>Nhân công test sản phẩm</t>
  </si>
  <si>
    <t>Nhân công thiết kế chiến lược</t>
  </si>
  <si>
    <t>Huấn luyện AI</t>
  </si>
  <si>
    <t>Bản thân làm</t>
  </si>
  <si>
    <t>Thực tế</t>
  </si>
  <si>
    <t>Dự kiến</t>
  </si>
  <si>
    <t>Tổng:</t>
  </si>
  <si>
    <t>Chi phí sử dụng</t>
  </si>
  <si>
    <t>Đang free</t>
  </si>
  <si>
    <t>Trạng thái</t>
  </si>
  <si>
    <t>Trạng thái thanh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</si>
</sst>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₫&quot;#,##0_);[Red]\(&quot;₫&quot;#,##0\)"/>
    <numFmt numFmtId="169" formatCode="&quot;₫&quot;#,##0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203764"/>
      <name val="Calibri"/>
      <family val="2"/>
    </font>
    <font>
      <b/>
      <sz val="12"/>
      <name val="Calibri"/>
      <family val="2"/>
    </font>
    <font>
      <b/>
      <sz val="12"/>
      <color rgb="FFC00000"/>
      <name val="Calibri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203764"/>
      <name val="Calibri (Body)"/>
    </font>
    <font>
      <b/>
      <sz val="18"/>
      <name val="Calibri (Body)"/>
    </font>
    <font>
      <sz val="18"/>
      <color theme="1"/>
      <name val="Calibri (Body)"/>
    </font>
    <font>
      <sz val="12"/>
      <name val="Calibri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6100"/>
      <name val="Calibri"/>
      <family val="2"/>
      <scheme val="minor"/>
    </font>
    <font>
      <b/>
      <sz val="16"/>
      <color rgb="FF9C0006"/>
      <name val="Calibri"/>
      <family val="2"/>
      <scheme val="minor"/>
    </font>
    <font>
      <sz val="16"/>
      <color rgb="FF9C5700"/>
      <name val="Calibri"/>
      <family val="2"/>
      <scheme val="minor"/>
    </font>
    <font>
      <b/>
      <sz val="12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  <fill>
      <patternFill patternType="solid">
        <fgColor rgb="FFFFD966"/>
        <bgColor rgb="FFFFD96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D9E1F2"/>
      </patternFill>
    </fill>
    <fill>
      <patternFill patternType="solid">
        <fgColor theme="9" tint="0.79998168889431442"/>
        <bgColor rgb="FFD9E1F2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8" fillId="7" borderId="0" applyNumberFormat="0" applyBorder="0" applyAlignment="0" applyProtection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3" fontId="5" fillId="4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3" fontId="0" fillId="8" borderId="1" xfId="0" applyNumberFormat="1" applyFill="1" applyBorder="1" applyAlignment="1">
      <alignment horizontal="center"/>
    </xf>
    <xf numFmtId="3" fontId="0" fillId="8" borderId="0" xfId="0" applyNumberFormat="1" applyFill="1" applyAlignment="1">
      <alignment horizontal="center"/>
    </xf>
    <xf numFmtId="0" fontId="9" fillId="8" borderId="1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0" borderId="1" xfId="0" applyFont="1" applyBorder="1"/>
    <xf numFmtId="0" fontId="9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8" borderId="5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9" fillId="11" borderId="5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3" fontId="0" fillId="11" borderId="1" xfId="0" applyNumberFormat="1" applyFill="1" applyBorder="1" applyAlignment="1">
      <alignment horizontal="center"/>
    </xf>
    <xf numFmtId="3" fontId="0" fillId="11" borderId="1" xfId="0" applyNumberForma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9" fillId="11" borderId="6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left" vertical="center" wrapText="1"/>
    </xf>
    <xf numFmtId="0" fontId="9" fillId="11" borderId="5" xfId="0" applyFont="1" applyFill="1" applyBorder="1" applyAlignment="1">
      <alignment horizontal="left" vertical="center" wrapText="1"/>
    </xf>
    <xf numFmtId="0" fontId="9" fillId="11" borderId="7" xfId="0" applyFont="1" applyFill="1" applyBorder="1" applyAlignment="1">
      <alignment horizontal="left" vertical="center" wrapText="1"/>
    </xf>
    <xf numFmtId="0" fontId="9" fillId="11" borderId="6" xfId="0" applyFont="1" applyFill="1" applyBorder="1" applyAlignment="1">
      <alignment horizontal="left" vertical="center" wrapText="1"/>
    </xf>
    <xf numFmtId="0" fontId="7" fillId="6" borderId="1" xfId="2" applyBorder="1"/>
    <xf numFmtId="3" fontId="7" fillId="6" borderId="1" xfId="2" applyNumberFormat="1" applyBorder="1"/>
    <xf numFmtId="0" fontId="0" fillId="0" borderId="1" xfId="0" applyFill="1" applyBorder="1"/>
    <xf numFmtId="0" fontId="1" fillId="0" borderId="1" xfId="2" applyFont="1" applyFill="1" applyBorder="1"/>
    <xf numFmtId="0" fontId="6" fillId="5" borderId="1" xfId="1" applyBorder="1"/>
    <xf numFmtId="3" fontId="6" fillId="5" borderId="1" xfId="1" applyNumberFormat="1" applyBorder="1"/>
    <xf numFmtId="0" fontId="15" fillId="0" borderId="1" xfId="0" applyFont="1" applyFill="1" applyBorder="1"/>
    <xf numFmtId="0" fontId="16" fillId="5" borderId="1" xfId="1" applyFont="1" applyBorder="1"/>
    <xf numFmtId="0" fontId="17" fillId="6" borderId="1" xfId="2" applyFont="1" applyBorder="1"/>
    <xf numFmtId="0" fontId="18" fillId="7" borderId="1" xfId="3" applyFont="1" applyBorder="1"/>
    <xf numFmtId="0" fontId="2" fillId="2" borderId="7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169" fontId="4" fillId="4" borderId="1" xfId="0" applyNumberFormat="1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/>
    <xf numFmtId="0" fontId="10" fillId="3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6" fontId="4" fillId="4" borderId="1" xfId="0" applyNumberFormat="1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169" fontId="19" fillId="4" borderId="1" xfId="0" applyNumberFormat="1" applyFont="1" applyFill="1" applyBorder="1" applyAlignment="1">
      <alignment horizontal="left" vertical="center" wrapText="1"/>
    </xf>
    <xf numFmtId="169" fontId="19" fillId="4" borderId="1" xfId="0" applyNumberFormat="1" applyFont="1" applyFill="1" applyBorder="1" applyAlignment="1">
      <alignment horizontal="center" vertical="center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checked="Checked" fmlaLink="$I$26" lockText="1" noThreeD="1"/>
</file>

<file path=xl/ctrlProps/ctrlProp2.xml><?xml version="1.0" encoding="utf-8"?>
<formControlPr xmlns="http://schemas.microsoft.com/office/spreadsheetml/2009/9/main" objectType="CheckBox" checked="Checked" fmlaLink="$I$27" lockText="1" noThreeD="1"/>
</file>

<file path=xl/ctrlProps/ctrlProp3.xml><?xml version="1.0" encoding="utf-8"?>
<formControlPr xmlns="http://schemas.microsoft.com/office/spreadsheetml/2009/9/main" objectType="CheckBox" checked="Checked" fmlaLink="$I$29" lockText="1" noThreeD="1"/>
</file>

<file path=xl/ctrlProps/ctrlProp4.xml><?xml version="1.0" encoding="utf-8"?>
<formControlPr xmlns="http://schemas.microsoft.com/office/spreadsheetml/2009/9/main" objectType="CheckBox" checked="Checked" fmlaLink="$I$30" lockText="1" noThreeD="1"/>
</file>

<file path=xl/ctrlProps/ctrlProp5.xml><?xml version="1.0" encoding="utf-8"?>
<formControlPr xmlns="http://schemas.microsoft.com/office/spreadsheetml/2009/9/main" objectType="CheckBox" checked="Checked" fmlaLink="$I$31" lockText="1" noThreeD="1"/>
</file>

<file path=xl/ctrlProps/ctrlProp6.xml><?xml version="1.0" encoding="utf-8"?>
<formControlPr xmlns="http://schemas.microsoft.com/office/spreadsheetml/2009/9/main" objectType="CheckBox" checked="Checked" fmlaLink="$I$33" lockText="1" noThreeD="1"/>
</file>

<file path=xl/ctrlProps/ctrlProp7.xml><?xml version="1.0" encoding="utf-8"?>
<formControlPr xmlns="http://schemas.microsoft.com/office/spreadsheetml/2009/9/main" objectType="CheckBox" checked="Checked" fmlaLink="$I$34" lockText="1" noThreeD="1"/>
</file>

<file path=xl/ctrlProps/ctrlProp8.xml><?xml version="1.0" encoding="utf-8"?>
<formControlPr xmlns="http://schemas.microsoft.com/office/spreadsheetml/2009/9/main" objectType="CheckBox" checked="Checked" fmlaLink="$I$35" lockText="1" noThreeD="1"/>
</file>

<file path=xl/ctrlProps/ctrlProp9.xml><?xml version="1.0" encoding="utf-8"?>
<formControlPr xmlns="http://schemas.microsoft.com/office/spreadsheetml/2009/9/main" objectType="CheckBox" checked="Checked" fmlaLink="$I$25" lockText="1" noThreeD="1"/>
</file>

<file path=xl/ctrlProps/ctrlProp10.xml><?xml version="1.0" encoding="utf-8"?>
<formControlPr xmlns="http://schemas.microsoft.com/office/spreadsheetml/2009/9/main" objectType="CheckBox" checked="Checked" fmlaLink="$I$24" lockText="1" noThreeD="1"/>
</file>

<file path=xl/ctrlProps/ctrlProp11.xml><?xml version="1.0" encoding="utf-8"?>
<formControlPr xmlns="http://schemas.microsoft.com/office/spreadsheetml/2009/9/main" objectType="CheckBox" checked="Checked" fmlaLink="$I$23" lockText="1" noThreeD="1"/>
</file>

<file path=xl/ctrlProps/ctrlProp12.xml><?xml version="1.0" encoding="utf-8"?>
<formControlPr xmlns="http://schemas.microsoft.com/office/spreadsheetml/2009/9/main" objectType="CheckBox" checked="Checked" fmlaLink="$I$16" lockText="1" noThreeD="1"/>
</file>

<file path=xl/ctrlProps/ctrlProp13.xml><?xml version="1.0" encoding="utf-8"?>
<formControlPr xmlns="http://schemas.microsoft.com/office/spreadsheetml/2009/9/main" objectType="CheckBox" checked="Checked" fmlaLink="$I$17" lockText="1" noThreeD="1"/>
</file>

<file path=xl/ctrlProps/ctrlProp14.xml><?xml version="1.0" encoding="utf-8"?>
<formControlPr xmlns="http://schemas.microsoft.com/office/spreadsheetml/2009/9/main" objectType="CheckBox" checked="Checked" fmlaLink="$I$18" lockText="1" noThreeD="1"/>
</file>

<file path=xl/ctrlProps/ctrlProp15.xml><?xml version="1.0" encoding="utf-8"?>
<formControlPr xmlns="http://schemas.microsoft.com/office/spreadsheetml/2009/9/main" objectType="CheckBox" checked="Checked" fmlaLink="$I$19" lockText="1" noThreeD="1"/>
</file>

<file path=xl/ctrlProps/ctrlProp16.xml><?xml version="1.0" encoding="utf-8"?>
<formControlPr xmlns="http://schemas.microsoft.com/office/spreadsheetml/2009/9/main" objectType="CheckBox" checked="Checked" fmlaLink="$I$20" lockText="1" noThreeD="1"/>
</file>

<file path=xl/ctrlProps/ctrlProp17.xml><?xml version="1.0" encoding="utf-8"?>
<formControlPr xmlns="http://schemas.microsoft.com/office/spreadsheetml/2009/9/main" objectType="CheckBox" checked="Checked" fmlaLink="$I$21" lockText="1" noThreeD="1"/>
</file>

<file path=xl/ctrlProps/ctrlProp18.xml><?xml version="1.0" encoding="utf-8"?>
<formControlPr xmlns="http://schemas.microsoft.com/office/spreadsheetml/2009/9/main" objectType="CheckBox" checked="Checked" fmlaLink="$I$14" lockText="1" noThreeD="1"/>
</file>

<file path=xl/ctrlProps/ctrlProp19.xml><?xml version="1.0" encoding="utf-8"?>
<formControlPr xmlns="http://schemas.microsoft.com/office/spreadsheetml/2009/9/main" objectType="CheckBox" checked="Checked" fmlaLink="$I$13" lockText="1" noThreeD="1"/>
</file>

<file path=xl/ctrlProps/ctrlProp20.xml><?xml version="1.0" encoding="utf-8"?>
<formControlPr xmlns="http://schemas.microsoft.com/office/spreadsheetml/2009/9/main" objectType="CheckBox" checked="Checked" fmlaLink="$I$12" lockText="1" noThreeD="1"/>
</file>

<file path=xl/ctrlProps/ctrlProp21.xml><?xml version="1.0" encoding="utf-8"?>
<formControlPr xmlns="http://schemas.microsoft.com/office/spreadsheetml/2009/9/main" objectType="CheckBox" checked="Checked" fmlaLink="$I$11" lockText="1" noThreeD="1"/>
</file>

<file path=xl/ctrlProps/ctrlProp22.xml><?xml version="1.0" encoding="utf-8"?>
<formControlPr xmlns="http://schemas.microsoft.com/office/spreadsheetml/2009/9/main" objectType="CheckBox" checked="Checked" fmlaLink="$I$10" lockText="1" noThreeD="1"/>
</file>

<file path=xl/ctrlProps/ctrlProp23.xml><?xml version="1.0" encoding="utf-8"?>
<formControlPr xmlns="http://schemas.microsoft.com/office/spreadsheetml/2009/9/main" objectType="CheckBox" checked="Checked" fmlaLink="$I$8" lockText="1" noThreeD="1"/>
</file>

<file path=xl/ctrlProps/ctrlProp24.xml><?xml version="1.0" encoding="utf-8"?>
<formControlPr xmlns="http://schemas.microsoft.com/office/spreadsheetml/2009/9/main" objectType="CheckBox" checked="Checked" fmlaLink="$I$7" lockText="1" noThreeD="1"/>
</file>

<file path=xl/ctrlProps/ctrlProp25.xml><?xml version="1.0" encoding="utf-8"?>
<formControlPr xmlns="http://schemas.microsoft.com/office/spreadsheetml/2009/9/main" objectType="CheckBox" checked="Checked" fmlaLink="$I$6" lockText="1" noThreeD="1"/>
</file>

<file path=xl/ctrlProps/ctrlProp26.xml><?xml version="1.0" encoding="utf-8"?>
<formControlPr xmlns="http://schemas.microsoft.com/office/spreadsheetml/2009/9/main" objectType="CheckBox" checked="Checked" fmlaLink="$I$5" lockText="1" noThreeD="1"/>
</file>

<file path=xl/ctrlProps/ctrlProp27.xml><?xml version="1.0" encoding="utf-8"?>
<formControlPr xmlns="http://schemas.microsoft.com/office/spreadsheetml/2009/9/main" objectType="CheckBox" checked="Checked" fmlaLink="$I$4" lockText="1" noThreeD="1"/>
</file>

<file path=xl/ctrlProps/ctrlProp28.xml><?xml version="1.0" encoding="utf-8"?>
<formControlPr xmlns="http://schemas.microsoft.com/office/spreadsheetml/2009/9/main" objectType="CheckBox" checked="Checked" fmlaLink="$I$3" lockText="1" noThreeD="1"/>
</file>

<file path=xl/ctrlProps/ctrlProp29.xml><?xml version="1.0" encoding="utf-8"?>
<formControlPr xmlns="http://schemas.microsoft.com/office/spreadsheetml/2009/9/main" objectType="CheckBox" checked="Checked" fmlaLink="$I$8" lockText="1" noThreeD="1"/>
</file>

<file path=xl/ctrlProps/ctrlProp30.xml><?xml version="1.0" encoding="utf-8"?>
<formControlPr xmlns="http://schemas.microsoft.com/office/spreadsheetml/2009/9/main" objectType="CheckBox" checked="Checked" fmlaLink="$I$7" lockText="1" noThreeD="1"/>
</file>

<file path=xl/ctrlProps/ctrlProp31.xml><?xml version="1.0" encoding="utf-8"?>
<formControlPr xmlns="http://schemas.microsoft.com/office/spreadsheetml/2009/9/main" objectType="CheckBox" checked="Checked" fmlaLink="$I$6" lockText="1" noThreeD="1"/>
</file>

<file path=xl/ctrlProps/ctrlProp32.xml><?xml version="1.0" encoding="utf-8"?>
<formControlPr xmlns="http://schemas.microsoft.com/office/spreadsheetml/2009/9/main" objectType="CheckBox" fmlaLink="$I$5" lockText="1" noThreeD="1"/>
</file>

<file path=xl/ctrlProps/ctrlProp33.xml><?xml version="1.0" encoding="utf-8"?>
<formControlPr xmlns="http://schemas.microsoft.com/office/spreadsheetml/2009/9/main" objectType="CheckBox" fmlaLink="$I$4" lockText="1" noThreeD="1"/>
</file>

<file path=xl/ctrlProps/ctrlProp34.xml><?xml version="1.0" encoding="utf-8"?>
<formControlPr xmlns="http://schemas.microsoft.com/office/spreadsheetml/2009/9/main" objectType="CheckBox" fmlaLink="$I$3" lockText="1" noThreeD="1"/>
</file>

<file path=xl/ctrlProps/ctrlProp35.xml><?xml version="1.0" encoding="utf-8"?>
<formControlPr xmlns="http://schemas.microsoft.com/office/spreadsheetml/2009/9/main" objectType="CheckBox" checked="Checked" fmlaLink="$I$7" lockText="1" noThreeD="1"/>
</file>

<file path=xl/ctrlProps/ctrlProp36.xml><?xml version="1.0" encoding="utf-8"?>
<formControlPr xmlns="http://schemas.microsoft.com/office/spreadsheetml/2009/9/main" objectType="CheckBox" checked="Checked" fmlaLink="$I$6" lockText="1" noThreeD="1"/>
</file>

<file path=xl/ctrlProps/ctrlProp37.xml><?xml version="1.0" encoding="utf-8"?>
<formControlPr xmlns="http://schemas.microsoft.com/office/spreadsheetml/2009/9/main" objectType="CheckBox" fmlaLink="$I$5" lockText="1" noThreeD="1"/>
</file>

<file path=xl/ctrlProps/ctrlProp38.xml><?xml version="1.0" encoding="utf-8"?>
<formControlPr xmlns="http://schemas.microsoft.com/office/spreadsheetml/2009/9/main" objectType="CheckBox" fmlaLink="$I$4" lockText="1" noThreeD="1"/>
</file>

<file path=xl/ctrlProps/ctrlProp39.xml><?xml version="1.0" encoding="utf-8"?>
<formControlPr xmlns="http://schemas.microsoft.com/office/spreadsheetml/2009/9/main" objectType="CheckBox" fmlaLink="$I$3" lockText="1" noThreeD="1"/>
</file>

<file path=xl/ctrlProps/ctrlProp40.xml><?xml version="1.0" encoding="utf-8"?>
<formControlPr xmlns="http://schemas.microsoft.com/office/spreadsheetml/2009/9/main" objectType="CheckBox" checked="Checked" fmlaLink="$I$7" lockText="1" noThreeD="1"/>
</file>

<file path=xl/ctrlProps/ctrlProp41.xml><?xml version="1.0" encoding="utf-8"?>
<formControlPr xmlns="http://schemas.microsoft.com/office/spreadsheetml/2009/9/main" objectType="CheckBox" checked="Checked" fmlaLink="$I$6" lockText="1" noThreeD="1"/>
</file>

<file path=xl/ctrlProps/ctrlProp42.xml><?xml version="1.0" encoding="utf-8"?>
<formControlPr xmlns="http://schemas.microsoft.com/office/spreadsheetml/2009/9/main" objectType="CheckBox" fmlaLink="$I$5" lockText="1" noThreeD="1"/>
</file>

<file path=xl/ctrlProps/ctrlProp43.xml><?xml version="1.0" encoding="utf-8"?>
<formControlPr xmlns="http://schemas.microsoft.com/office/spreadsheetml/2009/9/main" objectType="CheckBox" fmlaLink="$I$4" lockText="1" noThreeD="1"/>
</file>

<file path=xl/ctrlProps/ctrlProp44.xml><?xml version="1.0" encoding="utf-8"?>
<formControlPr xmlns="http://schemas.microsoft.com/office/spreadsheetml/2009/9/main" objectType="CheckBox" fmlaLink="$I$3" lockText="1" noThreeD="1"/>
</file>

<file path=xl/ctrlProps/ctrlProp45.xml><?xml version="1.0" encoding="utf-8"?>
<formControlPr xmlns="http://schemas.microsoft.com/office/spreadsheetml/2009/9/main" objectType="CheckBox" checked="Checked" fmlaLink="$I$7" lockText="1" noThreeD="1"/>
</file>

<file path=xl/ctrlProps/ctrlProp46.xml><?xml version="1.0" encoding="utf-8"?>
<formControlPr xmlns="http://schemas.microsoft.com/office/spreadsheetml/2009/9/main" objectType="CheckBox" checked="Checked" fmlaLink="$I$6" lockText="1" noThreeD="1"/>
</file>

<file path=xl/ctrlProps/ctrlProp47.xml><?xml version="1.0" encoding="utf-8"?>
<formControlPr xmlns="http://schemas.microsoft.com/office/spreadsheetml/2009/9/main" objectType="CheckBox" fmlaLink="$I$5" lockText="1" noThreeD="1"/>
</file>

<file path=xl/ctrlProps/ctrlProp48.xml><?xml version="1.0" encoding="utf-8"?>
<formControlPr xmlns="http://schemas.microsoft.com/office/spreadsheetml/2009/9/main" objectType="CheckBox" fmlaLink="$I$4" lockText="1" noThreeD="1"/>
</file>

<file path=xl/ctrlProps/ctrlProp49.xml><?xml version="1.0" encoding="utf-8"?>
<formControlPr xmlns="http://schemas.microsoft.com/office/spreadsheetml/2009/9/main" objectType="CheckBox" fmlaLink="$I$3" lockText="1" noThreeD="1"/>
</file>

<file path=xl/ctrlProps/ctrlProp50.xml><?xml version="1.0" encoding="utf-8"?>
<formControlPr xmlns="http://schemas.microsoft.com/office/spreadsheetml/2009/9/main" objectType="CheckBox" checked="Checked" fmlaLink="$I$8" lockText="1" noThreeD="1"/>
</file>

<file path=xl/ctrlProps/ctrlProp51.xml><?xml version="1.0" encoding="utf-8"?>
<formControlPr xmlns="http://schemas.microsoft.com/office/spreadsheetml/2009/9/main" objectType="CheckBox" checked="Checked" fmlaLink="$I$7" lockText="1" noThreeD="1"/>
</file>

<file path=xl/ctrlProps/ctrlProp52.xml><?xml version="1.0" encoding="utf-8"?>
<formControlPr xmlns="http://schemas.microsoft.com/office/spreadsheetml/2009/9/main" objectType="CheckBox" fmlaLink="$I$5" lockText="1" noThreeD="1"/>
</file>

<file path=xl/ctrlProps/ctrlProp53.xml><?xml version="1.0" encoding="utf-8"?>
<formControlPr xmlns="http://schemas.microsoft.com/office/spreadsheetml/2009/9/main" objectType="CheckBox" fmlaLink="$I$4" lockText="1" noThreeD="1"/>
</file>

<file path=xl/ctrlProps/ctrlProp54.xml><?xml version="1.0" encoding="utf-8"?>
<formControlPr xmlns="http://schemas.microsoft.com/office/spreadsheetml/2009/9/main" objectType="CheckBox" fmlaLink="$I$3" lockText="1" noThreeD="1"/>
</file>

<file path=xl/ctrlProps/ctrlProp55.xml><?xml version="1.0" encoding="utf-8"?>
<formControlPr xmlns="http://schemas.microsoft.com/office/spreadsheetml/2009/9/main" objectType="CheckBox" fmlaLink="$I$3" lockText="1" noThreeD="1"/>
</file>

<file path=xl/ctrlProps/ctrlProp56.xml><?xml version="1.0" encoding="utf-8"?>
<formControlPr xmlns="http://schemas.microsoft.com/office/spreadsheetml/2009/9/main" objectType="CheckBox" fmlaLink="$I$16" lockText="1" noThreeD="1"/>
</file>

<file path=xl/ctrlProps/ctrlProp57.xml><?xml version="1.0" encoding="utf-8"?>
<formControlPr xmlns="http://schemas.microsoft.com/office/spreadsheetml/2009/9/main" objectType="CheckBox" checked="Checked" fmlaLink="$I$14" lockText="1" noThreeD="1"/>
</file>

<file path=xl/ctrlProps/ctrlProp58.xml><?xml version="1.0" encoding="utf-8"?>
<formControlPr xmlns="http://schemas.microsoft.com/office/spreadsheetml/2009/9/main" objectType="CheckBox" checked="Checked" fmlaLink="$I$13" lockText="1" noThreeD="1"/>
</file>

<file path=xl/ctrlProps/ctrlProp59.xml><?xml version="1.0" encoding="utf-8"?>
<formControlPr xmlns="http://schemas.microsoft.com/office/spreadsheetml/2009/9/main" objectType="CheckBox" fmlaLink="$I$12" lockText="1" noThreeD="1"/>
</file>

<file path=xl/ctrlProps/ctrlProp60.xml><?xml version="1.0" encoding="utf-8"?>
<formControlPr xmlns="http://schemas.microsoft.com/office/spreadsheetml/2009/9/main" objectType="CheckBox" fmlaLink="$I$11" lockText="1" noThreeD="1"/>
</file>

<file path=xl/ctrlProps/ctrlProp61.xml><?xml version="1.0" encoding="utf-8"?>
<formControlPr xmlns="http://schemas.microsoft.com/office/spreadsheetml/2009/9/main" objectType="CheckBox" fmlaLink="$I$10" lockText="1" noThreeD="1"/>
</file>

<file path=xl/ctrlProps/ctrlProp62.xml><?xml version="1.0" encoding="utf-8"?>
<formControlPr xmlns="http://schemas.microsoft.com/office/spreadsheetml/2009/9/main" objectType="CheckBox" fmlaLink="$I$16" lockText="1" noThreeD="1"/>
</file>

<file path=xl/ctrlProps/ctrlProp63.xml><?xml version="1.0" encoding="utf-8"?>
<formControlPr xmlns="http://schemas.microsoft.com/office/spreadsheetml/2009/9/main" objectType="CheckBox" checked="Checked" fmlaLink="$I$17" lockText="1" noThreeD="1"/>
</file>

<file path=xl/ctrlProps/ctrlProp64.xml><?xml version="1.0" encoding="utf-8"?>
<formControlPr xmlns="http://schemas.microsoft.com/office/spreadsheetml/2009/9/main" objectType="CheckBox" checked="Checked" fmlaLink="$I$18" lockText="1" noThreeD="1"/>
</file>

<file path=xl/ctrlProps/ctrlProp65.xml><?xml version="1.0" encoding="utf-8"?>
<formControlPr xmlns="http://schemas.microsoft.com/office/spreadsheetml/2009/9/main" objectType="CheckBox" fmlaLink="$I$19" lockText="1" noThreeD="1"/>
</file>

<file path=xl/ctrlProps/ctrlProp66.xml><?xml version="1.0" encoding="utf-8"?>
<formControlPr xmlns="http://schemas.microsoft.com/office/spreadsheetml/2009/9/main" objectType="CheckBox" checked="Checked" fmlaLink="$I$20" lockText="1" noThreeD="1"/>
</file>

<file path=xl/ctrlProps/ctrlProp67.xml><?xml version="1.0" encoding="utf-8"?>
<formControlPr xmlns="http://schemas.microsoft.com/office/spreadsheetml/2009/9/main" objectType="CheckBox" checked="Checked" fmlaLink="$I$21" lockText="1" noThreeD="1"/>
</file>

<file path=xl/ctrlProps/ctrlProp68.xml><?xml version="1.0" encoding="utf-8"?>
<formControlPr xmlns="http://schemas.microsoft.com/office/spreadsheetml/2009/9/main" objectType="CheckBox" fmlaLink="$I$26" lockText="1" noThreeD="1"/>
</file>

<file path=xl/ctrlProps/ctrlProp69.xml><?xml version="1.0" encoding="utf-8"?>
<formControlPr xmlns="http://schemas.microsoft.com/office/spreadsheetml/2009/9/main" objectType="CheckBox" fmlaLink="$I$27" lockText="1" noThreeD="1"/>
</file>

<file path=xl/ctrlProps/ctrlProp70.xml><?xml version="1.0" encoding="utf-8"?>
<formControlPr xmlns="http://schemas.microsoft.com/office/spreadsheetml/2009/9/main" objectType="CheckBox" fmlaLink="$I$25" lockText="1" noThreeD="1"/>
</file>

<file path=xl/ctrlProps/ctrlProp71.xml><?xml version="1.0" encoding="utf-8"?>
<formControlPr xmlns="http://schemas.microsoft.com/office/spreadsheetml/2009/9/main" objectType="CheckBox" fmlaLink="$I$24" lockText="1" noThreeD="1"/>
</file>

<file path=xl/ctrlProps/ctrlProp72.xml><?xml version="1.0" encoding="utf-8"?>
<formControlPr xmlns="http://schemas.microsoft.com/office/spreadsheetml/2009/9/main" objectType="CheckBox" fmlaLink="$I$23" lockText="1" noThreeD="1"/>
</file>

<file path=xl/ctrlProps/ctrlProp73.xml><?xml version="1.0" encoding="utf-8"?>
<formControlPr xmlns="http://schemas.microsoft.com/office/spreadsheetml/2009/9/main" objectType="CheckBox" fmlaLink="$I$29" lockText="1" noThreeD="1"/>
</file>

<file path=xl/ctrlProps/ctrlProp74.xml><?xml version="1.0" encoding="utf-8"?>
<formControlPr xmlns="http://schemas.microsoft.com/office/spreadsheetml/2009/9/main" objectType="CheckBox" fmlaLink="$I$30" lockText="1" noThreeD="1"/>
</file>

<file path=xl/ctrlProps/ctrlProp75.xml><?xml version="1.0" encoding="utf-8"?>
<formControlPr xmlns="http://schemas.microsoft.com/office/spreadsheetml/2009/9/main" objectType="CheckBox" fmlaLink="$I$31" lockText="1" noThreeD="1"/>
</file>

<file path=xl/ctrlProps/ctrlProp76.xml><?xml version="1.0" encoding="utf-8"?>
<formControlPr xmlns="http://schemas.microsoft.com/office/spreadsheetml/2009/9/main" objectType="CheckBox" fmlaLink="$I$33" lockText="1" noThreeD="1"/>
</file>

<file path=xl/ctrlProps/ctrlProp77.xml><?xml version="1.0" encoding="utf-8"?>
<formControlPr xmlns="http://schemas.microsoft.com/office/spreadsheetml/2009/9/main" objectType="CheckBox" fmlaLink="$I$34" lockText="1" noThreeD="1"/>
</file>

<file path=xl/ctrlProps/ctrlProp78.xml><?xml version="1.0" encoding="utf-8"?>
<formControlPr xmlns="http://schemas.microsoft.com/office/spreadsheetml/2009/9/main" objectType="CheckBox" fmlaLink="$I$35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25</xdr:row>
          <xdr:rowOff>12700</xdr:rowOff>
        </xdr:from>
        <xdr:to>
          <xdr:col>9</xdr:col>
          <xdr:colOff>1384300</xdr:colOff>
          <xdr:row>26</xdr:row>
          <xdr:rowOff>0</xdr:rowOff>
        </xdr:to>
        <xdr:sp macro="" textlink="">
          <xdr:nvSpPr>
            <xdr:cNvPr id="4126" name="Check Box 30" descr="Đã thanh toán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506F1B2E-D066-729A-EB9A-1AD07A1241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26</xdr:row>
          <xdr:rowOff>12700</xdr:rowOff>
        </xdr:from>
        <xdr:to>
          <xdr:col>9</xdr:col>
          <xdr:colOff>1384300</xdr:colOff>
          <xdr:row>27</xdr:row>
          <xdr:rowOff>0</xdr:rowOff>
        </xdr:to>
        <xdr:sp macro="" textlink="">
          <xdr:nvSpPr>
            <xdr:cNvPr id="4127" name="Check Box 31" descr="Đã thanh toán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A5739D3B-74A4-D1B4-DAF9-9A22E5CAD3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28</xdr:row>
          <xdr:rowOff>12700</xdr:rowOff>
        </xdr:from>
        <xdr:to>
          <xdr:col>9</xdr:col>
          <xdr:colOff>1384300</xdr:colOff>
          <xdr:row>29</xdr:row>
          <xdr:rowOff>0</xdr:rowOff>
        </xdr:to>
        <xdr:sp macro="" textlink="">
          <xdr:nvSpPr>
            <xdr:cNvPr id="4128" name="Check Box 32" descr="Đã thanh toán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1D403CD8-AF8D-501A-4C4E-2178A4D7BB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29</xdr:row>
          <xdr:rowOff>12700</xdr:rowOff>
        </xdr:from>
        <xdr:to>
          <xdr:col>9</xdr:col>
          <xdr:colOff>1384300</xdr:colOff>
          <xdr:row>30</xdr:row>
          <xdr:rowOff>0</xdr:rowOff>
        </xdr:to>
        <xdr:sp macro="" textlink="">
          <xdr:nvSpPr>
            <xdr:cNvPr id="4129" name="Check Box 33" descr="Đã thanh toán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6DA868C0-048A-DDE7-94F9-D018E19136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30</xdr:row>
          <xdr:rowOff>12700</xdr:rowOff>
        </xdr:from>
        <xdr:to>
          <xdr:col>9</xdr:col>
          <xdr:colOff>1384300</xdr:colOff>
          <xdr:row>31</xdr:row>
          <xdr:rowOff>0</xdr:rowOff>
        </xdr:to>
        <xdr:sp macro="" textlink="">
          <xdr:nvSpPr>
            <xdr:cNvPr id="4131" name="Check Box 35" descr="Đã thanh toán" hidden="1">
              <a:extLst>
                <a:ext uri="{63B3BB69-23CF-44E3-9099-C40C66FF867C}">
                  <a14:compatExt spid="_x0000_s4131"/>
                </a:ext>
                <a:ext uri="{FF2B5EF4-FFF2-40B4-BE49-F238E27FC236}">
                  <a16:creationId xmlns:a16="http://schemas.microsoft.com/office/drawing/2014/main" id="{41CEF9A9-0903-5D29-694F-77EDCA1FCA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32</xdr:row>
          <xdr:rowOff>12700</xdr:rowOff>
        </xdr:from>
        <xdr:to>
          <xdr:col>9</xdr:col>
          <xdr:colOff>1384300</xdr:colOff>
          <xdr:row>33</xdr:row>
          <xdr:rowOff>0</xdr:rowOff>
        </xdr:to>
        <xdr:sp macro="" textlink="">
          <xdr:nvSpPr>
            <xdr:cNvPr id="4133" name="Check Box 37" descr="Đã thanh toán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745D6E5F-ACDB-97F1-E7F5-63FD5058DC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33</xdr:row>
          <xdr:rowOff>12700</xdr:rowOff>
        </xdr:from>
        <xdr:to>
          <xdr:col>9</xdr:col>
          <xdr:colOff>1384300</xdr:colOff>
          <xdr:row>34</xdr:row>
          <xdr:rowOff>0</xdr:rowOff>
        </xdr:to>
        <xdr:sp macro="" textlink="">
          <xdr:nvSpPr>
            <xdr:cNvPr id="4134" name="Check Box 38" descr="Đã thanh toán" hidden="1">
              <a:extLst>
                <a:ext uri="{63B3BB69-23CF-44E3-9099-C40C66FF867C}">
                  <a14:compatExt spid="_x0000_s4134"/>
                </a:ext>
                <a:ext uri="{FF2B5EF4-FFF2-40B4-BE49-F238E27FC236}">
                  <a16:creationId xmlns:a16="http://schemas.microsoft.com/office/drawing/2014/main" id="{C084A85A-0B40-3443-1016-648F1E6E30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34</xdr:row>
          <xdr:rowOff>12700</xdr:rowOff>
        </xdr:from>
        <xdr:to>
          <xdr:col>9</xdr:col>
          <xdr:colOff>1384300</xdr:colOff>
          <xdr:row>35</xdr:row>
          <xdr:rowOff>0</xdr:rowOff>
        </xdr:to>
        <xdr:sp macro="" textlink="">
          <xdr:nvSpPr>
            <xdr:cNvPr id="4135" name="Check Box 39" descr="Đã thanh toán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96C25506-2C81-2E13-A613-CF9E6B7FDF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24</xdr:row>
          <xdr:rowOff>12700</xdr:rowOff>
        </xdr:from>
        <xdr:to>
          <xdr:col>9</xdr:col>
          <xdr:colOff>1384300</xdr:colOff>
          <xdr:row>25</xdr:row>
          <xdr:rowOff>0</xdr:rowOff>
        </xdr:to>
        <xdr:sp macro="" textlink="">
          <xdr:nvSpPr>
            <xdr:cNvPr id="4136" name="Check Box 40" descr="Đã thanh toán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E961DA06-E1E3-9807-35D3-FE8F228631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23</xdr:row>
          <xdr:rowOff>12700</xdr:rowOff>
        </xdr:from>
        <xdr:to>
          <xdr:col>9</xdr:col>
          <xdr:colOff>1384300</xdr:colOff>
          <xdr:row>24</xdr:row>
          <xdr:rowOff>0</xdr:rowOff>
        </xdr:to>
        <xdr:sp macro="" textlink="">
          <xdr:nvSpPr>
            <xdr:cNvPr id="4137" name="Check Box 41" descr="Đã thanh toán" hidden="1">
              <a:extLst>
                <a:ext uri="{63B3BB69-23CF-44E3-9099-C40C66FF867C}">
                  <a14:compatExt spid="_x0000_s4137"/>
                </a:ext>
                <a:ext uri="{FF2B5EF4-FFF2-40B4-BE49-F238E27FC236}">
                  <a16:creationId xmlns:a16="http://schemas.microsoft.com/office/drawing/2014/main" id="{6DCE7E28-D30A-9AD2-03A7-0AD10AFA17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22</xdr:row>
          <xdr:rowOff>12700</xdr:rowOff>
        </xdr:from>
        <xdr:to>
          <xdr:col>9</xdr:col>
          <xdr:colOff>1384300</xdr:colOff>
          <xdr:row>23</xdr:row>
          <xdr:rowOff>0</xdr:rowOff>
        </xdr:to>
        <xdr:sp macro="" textlink="">
          <xdr:nvSpPr>
            <xdr:cNvPr id="4138" name="Check Box 42" descr="Đã thanh toán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D5ACE9FF-7AF8-C919-DD1B-24C041965A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15</xdr:row>
          <xdr:rowOff>12700</xdr:rowOff>
        </xdr:from>
        <xdr:to>
          <xdr:col>9</xdr:col>
          <xdr:colOff>1384300</xdr:colOff>
          <xdr:row>16</xdr:row>
          <xdr:rowOff>12700</xdr:rowOff>
        </xdr:to>
        <xdr:sp macro="" textlink="">
          <xdr:nvSpPr>
            <xdr:cNvPr id="4139" name="Check Box 43" descr="Đã thanh toán" hidden="1">
              <a:extLst>
                <a:ext uri="{63B3BB69-23CF-44E3-9099-C40C66FF867C}">
                  <a14:compatExt spid="_x0000_s4139"/>
                </a:ext>
                <a:ext uri="{FF2B5EF4-FFF2-40B4-BE49-F238E27FC236}">
                  <a16:creationId xmlns:a16="http://schemas.microsoft.com/office/drawing/2014/main" id="{507AACB0-654B-60E0-AA04-37006F071E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16</xdr:row>
          <xdr:rowOff>12700</xdr:rowOff>
        </xdr:from>
        <xdr:to>
          <xdr:col>9</xdr:col>
          <xdr:colOff>1384300</xdr:colOff>
          <xdr:row>17</xdr:row>
          <xdr:rowOff>0</xdr:rowOff>
        </xdr:to>
        <xdr:sp macro="" textlink="">
          <xdr:nvSpPr>
            <xdr:cNvPr id="4140" name="Check Box 44" descr="Đã thanh toán" hidden="1">
              <a:extLst>
                <a:ext uri="{63B3BB69-23CF-44E3-9099-C40C66FF867C}">
                  <a14:compatExt spid="_x0000_s4140"/>
                </a:ext>
                <a:ext uri="{FF2B5EF4-FFF2-40B4-BE49-F238E27FC236}">
                  <a16:creationId xmlns:a16="http://schemas.microsoft.com/office/drawing/2014/main" id="{18A60961-8814-DCC0-6A13-9BB8FF116D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17</xdr:row>
          <xdr:rowOff>12700</xdr:rowOff>
        </xdr:from>
        <xdr:to>
          <xdr:col>9</xdr:col>
          <xdr:colOff>1384300</xdr:colOff>
          <xdr:row>18</xdr:row>
          <xdr:rowOff>0</xdr:rowOff>
        </xdr:to>
        <xdr:sp macro="" textlink="">
          <xdr:nvSpPr>
            <xdr:cNvPr id="4141" name="Check Box 45" descr="Đã thanh toán" hidden="1">
              <a:extLst>
                <a:ext uri="{63B3BB69-23CF-44E3-9099-C40C66FF867C}">
                  <a14:compatExt spid="_x0000_s4141"/>
                </a:ext>
                <a:ext uri="{FF2B5EF4-FFF2-40B4-BE49-F238E27FC236}">
                  <a16:creationId xmlns:a16="http://schemas.microsoft.com/office/drawing/2014/main" id="{FDD0DAFE-8F98-92D9-8E46-4B2C34BC89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18</xdr:row>
          <xdr:rowOff>12700</xdr:rowOff>
        </xdr:from>
        <xdr:to>
          <xdr:col>9</xdr:col>
          <xdr:colOff>1384300</xdr:colOff>
          <xdr:row>19</xdr:row>
          <xdr:rowOff>0</xdr:rowOff>
        </xdr:to>
        <xdr:sp macro="" textlink="">
          <xdr:nvSpPr>
            <xdr:cNvPr id="4142" name="Check Box 46" descr="Đã thanh toán" hidden="1">
              <a:extLst>
                <a:ext uri="{63B3BB69-23CF-44E3-9099-C40C66FF867C}">
                  <a14:compatExt spid="_x0000_s4142"/>
                </a:ext>
                <a:ext uri="{FF2B5EF4-FFF2-40B4-BE49-F238E27FC236}">
                  <a16:creationId xmlns:a16="http://schemas.microsoft.com/office/drawing/2014/main" id="{5D1188A3-8859-699B-BD8D-D46A8ECD5D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19</xdr:row>
          <xdr:rowOff>12700</xdr:rowOff>
        </xdr:from>
        <xdr:to>
          <xdr:col>9</xdr:col>
          <xdr:colOff>1384300</xdr:colOff>
          <xdr:row>20</xdr:row>
          <xdr:rowOff>12700</xdr:rowOff>
        </xdr:to>
        <xdr:sp macro="" textlink="">
          <xdr:nvSpPr>
            <xdr:cNvPr id="4143" name="Check Box 47" descr="Đã thanh toán" hidden="1">
              <a:extLst>
                <a:ext uri="{63B3BB69-23CF-44E3-9099-C40C66FF867C}">
                  <a14:compatExt spid="_x0000_s4143"/>
                </a:ext>
                <a:ext uri="{FF2B5EF4-FFF2-40B4-BE49-F238E27FC236}">
                  <a16:creationId xmlns:a16="http://schemas.microsoft.com/office/drawing/2014/main" id="{C3BA526F-3665-D8CD-52D5-049320E800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20</xdr:row>
          <xdr:rowOff>12700</xdr:rowOff>
        </xdr:from>
        <xdr:to>
          <xdr:col>9</xdr:col>
          <xdr:colOff>1384300</xdr:colOff>
          <xdr:row>21</xdr:row>
          <xdr:rowOff>12700</xdr:rowOff>
        </xdr:to>
        <xdr:sp macro="" textlink="">
          <xdr:nvSpPr>
            <xdr:cNvPr id="4144" name="Check Box 48" descr="Đã thanh toán" hidden="1">
              <a:extLst>
                <a:ext uri="{63B3BB69-23CF-44E3-9099-C40C66FF867C}">
                  <a14:compatExt spid="_x0000_s4144"/>
                </a:ext>
                <a:ext uri="{FF2B5EF4-FFF2-40B4-BE49-F238E27FC236}">
                  <a16:creationId xmlns:a16="http://schemas.microsoft.com/office/drawing/2014/main" id="{20E5C098-06B1-7CF3-85D0-B173CB67B1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13</xdr:row>
          <xdr:rowOff>12700</xdr:rowOff>
        </xdr:from>
        <xdr:to>
          <xdr:col>9</xdr:col>
          <xdr:colOff>1384300</xdr:colOff>
          <xdr:row>14</xdr:row>
          <xdr:rowOff>0</xdr:rowOff>
        </xdr:to>
        <xdr:sp macro="" textlink="">
          <xdr:nvSpPr>
            <xdr:cNvPr id="4145" name="Check Box 49" descr="Đã thanh toán" hidden="1">
              <a:extLst>
                <a:ext uri="{63B3BB69-23CF-44E3-9099-C40C66FF867C}">
                  <a14:compatExt spid="_x0000_s4145"/>
                </a:ext>
                <a:ext uri="{FF2B5EF4-FFF2-40B4-BE49-F238E27FC236}">
                  <a16:creationId xmlns:a16="http://schemas.microsoft.com/office/drawing/2014/main" id="{66F92D0F-893D-47A3-E6E4-CC7E6BFE1F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12</xdr:row>
          <xdr:rowOff>12700</xdr:rowOff>
        </xdr:from>
        <xdr:to>
          <xdr:col>9</xdr:col>
          <xdr:colOff>1384300</xdr:colOff>
          <xdr:row>13</xdr:row>
          <xdr:rowOff>0</xdr:rowOff>
        </xdr:to>
        <xdr:sp macro="" textlink="">
          <xdr:nvSpPr>
            <xdr:cNvPr id="4146" name="Check Box 50" descr="Đã thanh toán" hidden="1">
              <a:extLst>
                <a:ext uri="{63B3BB69-23CF-44E3-9099-C40C66FF867C}">
                  <a14:compatExt spid="_x0000_s4146"/>
                </a:ext>
                <a:ext uri="{FF2B5EF4-FFF2-40B4-BE49-F238E27FC236}">
                  <a16:creationId xmlns:a16="http://schemas.microsoft.com/office/drawing/2014/main" id="{EC1D9E2E-894D-764F-BFA0-972A5470DD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11</xdr:row>
          <xdr:rowOff>12700</xdr:rowOff>
        </xdr:from>
        <xdr:to>
          <xdr:col>9</xdr:col>
          <xdr:colOff>1384300</xdr:colOff>
          <xdr:row>12</xdr:row>
          <xdr:rowOff>0</xdr:rowOff>
        </xdr:to>
        <xdr:sp macro="" textlink="">
          <xdr:nvSpPr>
            <xdr:cNvPr id="4147" name="Check Box 51" descr="Đã thanh toán" hidden="1">
              <a:extLst>
                <a:ext uri="{63B3BB69-23CF-44E3-9099-C40C66FF867C}">
                  <a14:compatExt spid="_x0000_s4147"/>
                </a:ext>
                <a:ext uri="{FF2B5EF4-FFF2-40B4-BE49-F238E27FC236}">
                  <a16:creationId xmlns:a16="http://schemas.microsoft.com/office/drawing/2014/main" id="{950FE461-6292-80BF-FFAB-0089D22222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10</xdr:row>
          <xdr:rowOff>12700</xdr:rowOff>
        </xdr:from>
        <xdr:to>
          <xdr:col>9</xdr:col>
          <xdr:colOff>1384300</xdr:colOff>
          <xdr:row>11</xdr:row>
          <xdr:rowOff>0</xdr:rowOff>
        </xdr:to>
        <xdr:sp macro="" textlink="">
          <xdr:nvSpPr>
            <xdr:cNvPr id="4148" name="Check Box 52" descr="Đã thanh toán" hidden="1">
              <a:extLst>
                <a:ext uri="{63B3BB69-23CF-44E3-9099-C40C66FF867C}">
                  <a14:compatExt spid="_x0000_s4148"/>
                </a:ext>
                <a:ext uri="{FF2B5EF4-FFF2-40B4-BE49-F238E27FC236}">
                  <a16:creationId xmlns:a16="http://schemas.microsoft.com/office/drawing/2014/main" id="{A2F23F03-B345-5D72-BE95-08E6D05B8E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9</xdr:row>
          <xdr:rowOff>12700</xdr:rowOff>
        </xdr:from>
        <xdr:to>
          <xdr:col>9</xdr:col>
          <xdr:colOff>1384300</xdr:colOff>
          <xdr:row>10</xdr:row>
          <xdr:rowOff>12700</xdr:rowOff>
        </xdr:to>
        <xdr:sp macro="" textlink="">
          <xdr:nvSpPr>
            <xdr:cNvPr id="4149" name="Check Box 53" descr="Đã thanh toán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82DBF49D-239B-553A-D596-DE5B26DC8A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7</xdr:row>
          <xdr:rowOff>12700</xdr:rowOff>
        </xdr:from>
        <xdr:to>
          <xdr:col>9</xdr:col>
          <xdr:colOff>1384300</xdr:colOff>
          <xdr:row>8</xdr:row>
          <xdr:rowOff>0</xdr:rowOff>
        </xdr:to>
        <xdr:sp macro="" textlink="">
          <xdr:nvSpPr>
            <xdr:cNvPr id="4150" name="Check Box 54" descr="Đã thanh toán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689F9301-06A1-2460-FE28-28159EC82A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6</xdr:row>
          <xdr:rowOff>12700</xdr:rowOff>
        </xdr:from>
        <xdr:to>
          <xdr:col>9</xdr:col>
          <xdr:colOff>1384300</xdr:colOff>
          <xdr:row>7</xdr:row>
          <xdr:rowOff>0</xdr:rowOff>
        </xdr:to>
        <xdr:sp macro="" textlink="">
          <xdr:nvSpPr>
            <xdr:cNvPr id="4151" name="Check Box 55" descr="Đã thanh toán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C1849BBE-AEE3-1500-D2F4-FDBB0335C2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5</xdr:row>
          <xdr:rowOff>12700</xdr:rowOff>
        </xdr:from>
        <xdr:to>
          <xdr:col>9</xdr:col>
          <xdr:colOff>1384300</xdr:colOff>
          <xdr:row>6</xdr:row>
          <xdr:rowOff>0</xdr:rowOff>
        </xdr:to>
        <xdr:sp macro="" textlink="">
          <xdr:nvSpPr>
            <xdr:cNvPr id="4152" name="Check Box 56" descr="Đã thanh toán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D4D62690-FE83-44F2-F385-24BF0218C0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4</xdr:row>
          <xdr:rowOff>12700</xdr:rowOff>
        </xdr:from>
        <xdr:to>
          <xdr:col>9</xdr:col>
          <xdr:colOff>1384300</xdr:colOff>
          <xdr:row>5</xdr:row>
          <xdr:rowOff>0</xdr:rowOff>
        </xdr:to>
        <xdr:sp macro="" textlink="">
          <xdr:nvSpPr>
            <xdr:cNvPr id="4153" name="Check Box 57" descr="Đã thanh toán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35AAE10A-8E5B-5483-1A16-FC8C873CCA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3</xdr:row>
          <xdr:rowOff>12700</xdr:rowOff>
        </xdr:from>
        <xdr:to>
          <xdr:col>9</xdr:col>
          <xdr:colOff>1384300</xdr:colOff>
          <xdr:row>4</xdr:row>
          <xdr:rowOff>0</xdr:rowOff>
        </xdr:to>
        <xdr:sp macro="" textlink="">
          <xdr:nvSpPr>
            <xdr:cNvPr id="4154" name="Check Box 58" descr="Đã thanh toán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051D2AE1-1F5E-7EEC-5C1F-F73E646D9A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</xdr:row>
          <xdr:rowOff>12700</xdr:rowOff>
        </xdr:from>
        <xdr:to>
          <xdr:col>9</xdr:col>
          <xdr:colOff>1384300</xdr:colOff>
          <xdr:row>3</xdr:row>
          <xdr:rowOff>0</xdr:rowOff>
        </xdr:to>
        <xdr:sp macro="" textlink="">
          <xdr:nvSpPr>
            <xdr:cNvPr id="4156" name="Check Box 60" descr="Đã thanh toán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276080E9-D171-340B-7AFE-65475FC54C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7</xdr:row>
          <xdr:rowOff>12700</xdr:rowOff>
        </xdr:from>
        <xdr:to>
          <xdr:col>9</xdr:col>
          <xdr:colOff>1380003</xdr:colOff>
          <xdr:row>8</xdr:row>
          <xdr:rowOff>2674</xdr:rowOff>
        </xdr:to>
        <xdr:sp macro="" textlink="">
          <xdr:nvSpPr>
            <xdr:cNvPr id="6145" name="Check Box 1" descr="Đã thanh toán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83F8C863-FE5C-134B-A7FB-7FF04FF6D5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6</xdr:row>
          <xdr:rowOff>12700</xdr:rowOff>
        </xdr:from>
        <xdr:to>
          <xdr:col>9</xdr:col>
          <xdr:colOff>1380003</xdr:colOff>
          <xdr:row>7</xdr:row>
          <xdr:rowOff>0</xdr:rowOff>
        </xdr:to>
        <xdr:sp macro="" textlink="">
          <xdr:nvSpPr>
            <xdr:cNvPr id="6146" name="Check Box 2" descr="Đã thanh toán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F5DAD262-0E65-B24D-940C-346679A965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5</xdr:row>
          <xdr:rowOff>12700</xdr:rowOff>
        </xdr:from>
        <xdr:to>
          <xdr:col>9</xdr:col>
          <xdr:colOff>1380003</xdr:colOff>
          <xdr:row>5</xdr:row>
          <xdr:rowOff>200526</xdr:rowOff>
        </xdr:to>
        <xdr:sp macro="" textlink="">
          <xdr:nvSpPr>
            <xdr:cNvPr id="6147" name="Check Box 3" descr="Đã thanh toán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27A93307-37BD-4D40-8A34-44623C5B58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4</xdr:row>
          <xdr:rowOff>12700</xdr:rowOff>
        </xdr:from>
        <xdr:to>
          <xdr:col>9</xdr:col>
          <xdr:colOff>1380003</xdr:colOff>
          <xdr:row>5</xdr:row>
          <xdr:rowOff>0</xdr:rowOff>
        </xdr:to>
        <xdr:sp macro="" textlink="">
          <xdr:nvSpPr>
            <xdr:cNvPr id="6148" name="Check Box 4" descr="Đã thanh toán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A59432EC-1CBA-934A-8568-47DF30E526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3</xdr:row>
          <xdr:rowOff>12700</xdr:rowOff>
        </xdr:from>
        <xdr:to>
          <xdr:col>9</xdr:col>
          <xdr:colOff>1380003</xdr:colOff>
          <xdr:row>4</xdr:row>
          <xdr:rowOff>0</xdr:rowOff>
        </xdr:to>
        <xdr:sp macro="" textlink="">
          <xdr:nvSpPr>
            <xdr:cNvPr id="6149" name="Check Box 5" descr="Đã thanh toán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C5C5B247-F462-AD4D-A4FE-5006BFC21D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</xdr:row>
          <xdr:rowOff>12700</xdr:rowOff>
        </xdr:from>
        <xdr:to>
          <xdr:col>9</xdr:col>
          <xdr:colOff>1380003</xdr:colOff>
          <xdr:row>2</xdr:row>
          <xdr:rowOff>200526</xdr:rowOff>
        </xdr:to>
        <xdr:sp macro="" textlink="">
          <xdr:nvSpPr>
            <xdr:cNvPr id="6150" name="Check Box 6" descr="Đã thanh toán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AB87E850-634C-A44B-BC20-392116060B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13</xdr:row>
          <xdr:rowOff>12700</xdr:rowOff>
        </xdr:from>
        <xdr:to>
          <xdr:col>9</xdr:col>
          <xdr:colOff>1380003</xdr:colOff>
          <xdr:row>14</xdr:row>
          <xdr:rowOff>0</xdr:rowOff>
        </xdr:to>
        <xdr:sp macro="" textlink="">
          <xdr:nvSpPr>
            <xdr:cNvPr id="6152" name="Check Box 8" descr="Đã thanh toán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7F09AC7E-83BD-FD4B-BF07-17A57803BD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12</xdr:row>
          <xdr:rowOff>12700</xdr:rowOff>
        </xdr:from>
        <xdr:to>
          <xdr:col>9</xdr:col>
          <xdr:colOff>1380003</xdr:colOff>
          <xdr:row>13</xdr:row>
          <xdr:rowOff>0</xdr:rowOff>
        </xdr:to>
        <xdr:sp macro="" textlink="">
          <xdr:nvSpPr>
            <xdr:cNvPr id="6153" name="Check Box 9" descr="Đã thanh toán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7550AF11-02F6-C04F-B2CB-9ED3A9C9AB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11</xdr:row>
          <xdr:rowOff>12700</xdr:rowOff>
        </xdr:from>
        <xdr:to>
          <xdr:col>9</xdr:col>
          <xdr:colOff>1380003</xdr:colOff>
          <xdr:row>12</xdr:row>
          <xdr:rowOff>0</xdr:rowOff>
        </xdr:to>
        <xdr:sp macro="" textlink="">
          <xdr:nvSpPr>
            <xdr:cNvPr id="6154" name="Check Box 10" descr="Đã thanh toán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892197B0-2749-6249-B6A3-908F9204AE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10</xdr:row>
          <xdr:rowOff>12700</xdr:rowOff>
        </xdr:from>
        <xdr:to>
          <xdr:col>9</xdr:col>
          <xdr:colOff>1380003</xdr:colOff>
          <xdr:row>11</xdr:row>
          <xdr:rowOff>0</xdr:rowOff>
        </xdr:to>
        <xdr:sp macro="" textlink="">
          <xdr:nvSpPr>
            <xdr:cNvPr id="6155" name="Check Box 11" descr="Đã thanh toán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44CE2727-3D01-7F4A-9FC0-D94F7C2FB6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9</xdr:row>
          <xdr:rowOff>12700</xdr:rowOff>
        </xdr:from>
        <xdr:to>
          <xdr:col>9</xdr:col>
          <xdr:colOff>1380003</xdr:colOff>
          <xdr:row>10</xdr:row>
          <xdr:rowOff>12700</xdr:rowOff>
        </xdr:to>
        <xdr:sp macro="" textlink="">
          <xdr:nvSpPr>
            <xdr:cNvPr id="6156" name="Check Box 12" descr="Đã thanh toán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9FC54A96-EBA7-1248-9111-7E2A97DE4C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20</xdr:row>
          <xdr:rowOff>12700</xdr:rowOff>
        </xdr:from>
        <xdr:to>
          <xdr:col>9</xdr:col>
          <xdr:colOff>1380003</xdr:colOff>
          <xdr:row>21</xdr:row>
          <xdr:rowOff>0</xdr:rowOff>
        </xdr:to>
        <xdr:sp macro="" textlink="">
          <xdr:nvSpPr>
            <xdr:cNvPr id="6158" name="Check Box 14" descr="Đã thanh toán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62405D51-B713-9246-81BA-10546D8ABF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19</xdr:row>
          <xdr:rowOff>12700</xdr:rowOff>
        </xdr:from>
        <xdr:to>
          <xdr:col>9</xdr:col>
          <xdr:colOff>1380003</xdr:colOff>
          <xdr:row>19</xdr:row>
          <xdr:rowOff>200526</xdr:rowOff>
        </xdr:to>
        <xdr:sp macro="" textlink="">
          <xdr:nvSpPr>
            <xdr:cNvPr id="6159" name="Check Box 15" descr="Đã thanh toán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52E83685-E87E-DA40-978D-74C8BFC9A4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18</xdr:row>
          <xdr:rowOff>12700</xdr:rowOff>
        </xdr:from>
        <xdr:to>
          <xdr:col>9</xdr:col>
          <xdr:colOff>1380003</xdr:colOff>
          <xdr:row>19</xdr:row>
          <xdr:rowOff>0</xdr:rowOff>
        </xdr:to>
        <xdr:sp macro="" textlink="">
          <xdr:nvSpPr>
            <xdr:cNvPr id="6160" name="Check Box 16" descr="Đã thanh toán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BFE47D21-5929-5842-BE9F-2D4C359310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17</xdr:row>
          <xdr:rowOff>12700</xdr:rowOff>
        </xdr:from>
        <xdr:to>
          <xdr:col>9</xdr:col>
          <xdr:colOff>1380003</xdr:colOff>
          <xdr:row>18</xdr:row>
          <xdr:rowOff>12700</xdr:rowOff>
        </xdr:to>
        <xdr:sp macro="" textlink="">
          <xdr:nvSpPr>
            <xdr:cNvPr id="6161" name="Check Box 17" descr="Đã thanh toán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1AEB6591-2CF8-214B-958D-1A10E5F9AF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16</xdr:row>
          <xdr:rowOff>12700</xdr:rowOff>
        </xdr:from>
        <xdr:to>
          <xdr:col>9</xdr:col>
          <xdr:colOff>1380003</xdr:colOff>
          <xdr:row>17</xdr:row>
          <xdr:rowOff>2674</xdr:rowOff>
        </xdr:to>
        <xdr:sp macro="" textlink="">
          <xdr:nvSpPr>
            <xdr:cNvPr id="6162" name="Check Box 18" descr="Đã thanh toán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248916F4-6DDD-0843-BB2C-1505FE57D8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26</xdr:row>
          <xdr:rowOff>12700</xdr:rowOff>
        </xdr:from>
        <xdr:to>
          <xdr:col>9</xdr:col>
          <xdr:colOff>1380003</xdr:colOff>
          <xdr:row>27</xdr:row>
          <xdr:rowOff>0</xdr:rowOff>
        </xdr:to>
        <xdr:sp macro="" textlink="">
          <xdr:nvSpPr>
            <xdr:cNvPr id="6164" name="Check Box 20" descr="Đã thanh toán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88261343-F36D-5A41-BA59-A570C20A31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25</xdr:row>
          <xdr:rowOff>12700</xdr:rowOff>
        </xdr:from>
        <xdr:to>
          <xdr:col>9</xdr:col>
          <xdr:colOff>1380003</xdr:colOff>
          <xdr:row>26</xdr:row>
          <xdr:rowOff>0</xdr:rowOff>
        </xdr:to>
        <xdr:sp macro="" textlink="">
          <xdr:nvSpPr>
            <xdr:cNvPr id="6165" name="Check Box 21" descr="Đã thanh toán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9DF10BB8-9908-5146-8870-5B0524C482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24</xdr:row>
          <xdr:rowOff>12700</xdr:rowOff>
        </xdr:from>
        <xdr:to>
          <xdr:col>9</xdr:col>
          <xdr:colOff>1380003</xdr:colOff>
          <xdr:row>25</xdr:row>
          <xdr:rowOff>0</xdr:rowOff>
        </xdr:to>
        <xdr:sp macro="" textlink="">
          <xdr:nvSpPr>
            <xdr:cNvPr id="6166" name="Check Box 22" descr="Đã thanh toán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FF04B583-DF0C-4B47-8F0D-C997E7A531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23</xdr:row>
          <xdr:rowOff>12700</xdr:rowOff>
        </xdr:from>
        <xdr:to>
          <xdr:col>9</xdr:col>
          <xdr:colOff>1380003</xdr:colOff>
          <xdr:row>24</xdr:row>
          <xdr:rowOff>0</xdr:rowOff>
        </xdr:to>
        <xdr:sp macro="" textlink="">
          <xdr:nvSpPr>
            <xdr:cNvPr id="6167" name="Check Box 23" descr="Đã thanh toán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3C1B17FB-944E-C544-86E7-C7C4B6B6F2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22</xdr:row>
          <xdr:rowOff>12700</xdr:rowOff>
        </xdr:from>
        <xdr:to>
          <xdr:col>9</xdr:col>
          <xdr:colOff>1380003</xdr:colOff>
          <xdr:row>23</xdr:row>
          <xdr:rowOff>0</xdr:rowOff>
        </xdr:to>
        <xdr:sp macro="" textlink="">
          <xdr:nvSpPr>
            <xdr:cNvPr id="6168" name="Check Box 24" descr="Đã thanh toán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4833C99B-1638-4048-81C4-79684955AC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33</xdr:row>
          <xdr:rowOff>12700</xdr:rowOff>
        </xdr:from>
        <xdr:to>
          <xdr:col>9</xdr:col>
          <xdr:colOff>1380003</xdr:colOff>
          <xdr:row>34</xdr:row>
          <xdr:rowOff>0</xdr:rowOff>
        </xdr:to>
        <xdr:sp macro="" textlink="">
          <xdr:nvSpPr>
            <xdr:cNvPr id="6169" name="Check Box 25" descr="Đã thanh toán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B87248C1-61FE-904E-97C3-CBCB91C9C0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32</xdr:row>
          <xdr:rowOff>12700</xdr:rowOff>
        </xdr:from>
        <xdr:to>
          <xdr:col>9</xdr:col>
          <xdr:colOff>1380003</xdr:colOff>
          <xdr:row>33</xdr:row>
          <xdr:rowOff>0</xdr:rowOff>
        </xdr:to>
        <xdr:sp macro="" textlink="">
          <xdr:nvSpPr>
            <xdr:cNvPr id="6170" name="Check Box 26" descr="Đã thanh toán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811AEEC2-EC45-F740-A8CD-F88FFC5121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30</xdr:row>
          <xdr:rowOff>12700</xdr:rowOff>
        </xdr:from>
        <xdr:to>
          <xdr:col>9</xdr:col>
          <xdr:colOff>1380003</xdr:colOff>
          <xdr:row>31</xdr:row>
          <xdr:rowOff>0</xdr:rowOff>
        </xdr:to>
        <xdr:sp macro="" textlink="">
          <xdr:nvSpPr>
            <xdr:cNvPr id="6172" name="Check Box 28" descr="Đã thanh toán" hidden="1">
              <a:extLst>
                <a:ext uri="{63B3BB69-23CF-44E3-9099-C40C66FF867C}">
                  <a14:compatExt spid="_x0000_s6172"/>
                </a:ext>
                <a:ext uri="{FF2B5EF4-FFF2-40B4-BE49-F238E27FC236}">
                  <a16:creationId xmlns:a16="http://schemas.microsoft.com/office/drawing/2014/main" id="{B909B9EE-491E-F942-8D7C-0FDC07BDAF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29</xdr:row>
          <xdr:rowOff>12700</xdr:rowOff>
        </xdr:from>
        <xdr:to>
          <xdr:col>9</xdr:col>
          <xdr:colOff>1380003</xdr:colOff>
          <xdr:row>30</xdr:row>
          <xdr:rowOff>0</xdr:rowOff>
        </xdr:to>
        <xdr:sp macro="" textlink="">
          <xdr:nvSpPr>
            <xdr:cNvPr id="6173" name="Check Box 29" descr="Đã thanh toán" hidden="1">
              <a:extLst>
                <a:ext uri="{63B3BB69-23CF-44E3-9099-C40C66FF867C}">
                  <a14:compatExt spid="_x0000_s6173"/>
                </a:ext>
                <a:ext uri="{FF2B5EF4-FFF2-40B4-BE49-F238E27FC236}">
                  <a16:creationId xmlns:a16="http://schemas.microsoft.com/office/drawing/2014/main" id="{6B32A544-7111-1040-9C69-0D78DA2357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28</xdr:row>
          <xdr:rowOff>12700</xdr:rowOff>
        </xdr:from>
        <xdr:to>
          <xdr:col>9</xdr:col>
          <xdr:colOff>1380003</xdr:colOff>
          <xdr:row>28</xdr:row>
          <xdr:rowOff>200526</xdr:rowOff>
        </xdr:to>
        <xdr:sp macro="" textlink="">
          <xdr:nvSpPr>
            <xdr:cNvPr id="6174" name="Check Box 30" descr="Đã thanh toán" hidden="1">
              <a:extLst>
                <a:ext uri="{63B3BB69-23CF-44E3-9099-C40C66FF867C}">
                  <a14:compatExt spid="_x0000_s6174"/>
                </a:ext>
                <a:ext uri="{FF2B5EF4-FFF2-40B4-BE49-F238E27FC236}">
                  <a16:creationId xmlns:a16="http://schemas.microsoft.com/office/drawing/2014/main" id="{EBE53704-188B-A445-AD91-88B4944595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34</xdr:row>
          <xdr:rowOff>12700</xdr:rowOff>
        </xdr:from>
        <xdr:to>
          <xdr:col>9</xdr:col>
          <xdr:colOff>1380003</xdr:colOff>
          <xdr:row>35</xdr:row>
          <xdr:rowOff>0</xdr:rowOff>
        </xdr:to>
        <xdr:sp macro="" textlink="">
          <xdr:nvSpPr>
            <xdr:cNvPr id="6180" name="Check Box 36" descr="Đã thanh toán" hidden="1">
              <a:extLst>
                <a:ext uri="{63B3BB69-23CF-44E3-9099-C40C66FF867C}">
                  <a14:compatExt spid="_x0000_s6180"/>
                </a:ext>
                <a:ext uri="{FF2B5EF4-FFF2-40B4-BE49-F238E27FC236}">
                  <a16:creationId xmlns:a16="http://schemas.microsoft.com/office/drawing/2014/main" id="{4BDF83A2-EF2E-CE4D-8125-4D1EE0077A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15</xdr:row>
          <xdr:rowOff>12700</xdr:rowOff>
        </xdr:from>
        <xdr:to>
          <xdr:col>9</xdr:col>
          <xdr:colOff>1384300</xdr:colOff>
          <xdr:row>16</xdr:row>
          <xdr:rowOff>12700</xdr:rowOff>
        </xdr:to>
        <xdr:sp macro="" textlink="">
          <xdr:nvSpPr>
            <xdr:cNvPr id="6181" name="Check Box 37" descr="Đã thanh toán" hidden="1">
              <a:extLst>
                <a:ext uri="{63B3BB69-23CF-44E3-9099-C40C66FF867C}">
                  <a14:compatExt spid="_x0000_s6181"/>
                </a:ext>
                <a:ext uri="{FF2B5EF4-FFF2-40B4-BE49-F238E27FC236}">
                  <a16:creationId xmlns:a16="http://schemas.microsoft.com/office/drawing/2014/main" id="{3E81F3BC-FFD2-343B-0724-4220DC2CD0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13</xdr:row>
          <xdr:rowOff>12700</xdr:rowOff>
        </xdr:from>
        <xdr:to>
          <xdr:col>9</xdr:col>
          <xdr:colOff>1384300</xdr:colOff>
          <xdr:row>14</xdr:row>
          <xdr:rowOff>0</xdr:rowOff>
        </xdr:to>
        <xdr:sp macro="" textlink="">
          <xdr:nvSpPr>
            <xdr:cNvPr id="6182" name="Check Box 38" descr="Đã thanh toán" hidden="1">
              <a:extLst>
                <a:ext uri="{63B3BB69-23CF-44E3-9099-C40C66FF867C}">
                  <a14:compatExt spid="_x0000_s6182"/>
                </a:ext>
                <a:ext uri="{FF2B5EF4-FFF2-40B4-BE49-F238E27FC236}">
                  <a16:creationId xmlns:a16="http://schemas.microsoft.com/office/drawing/2014/main" id="{EF10EED6-BF72-4142-9D9E-8A286A4CF3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12</xdr:row>
          <xdr:rowOff>12700</xdr:rowOff>
        </xdr:from>
        <xdr:to>
          <xdr:col>9</xdr:col>
          <xdr:colOff>1384300</xdr:colOff>
          <xdr:row>13</xdr:row>
          <xdr:rowOff>0</xdr:rowOff>
        </xdr:to>
        <xdr:sp macro="" textlink="">
          <xdr:nvSpPr>
            <xdr:cNvPr id="6183" name="Check Box 39" descr="Đã thanh toán" hidden="1">
              <a:extLst>
                <a:ext uri="{63B3BB69-23CF-44E3-9099-C40C66FF867C}">
                  <a14:compatExt spid="_x0000_s6183"/>
                </a:ext>
                <a:ext uri="{FF2B5EF4-FFF2-40B4-BE49-F238E27FC236}">
                  <a16:creationId xmlns:a16="http://schemas.microsoft.com/office/drawing/2014/main" id="{703CD055-BE22-E440-AA49-1C68991D8A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11</xdr:row>
          <xdr:rowOff>12700</xdr:rowOff>
        </xdr:from>
        <xdr:to>
          <xdr:col>9</xdr:col>
          <xdr:colOff>1384300</xdr:colOff>
          <xdr:row>12</xdr:row>
          <xdr:rowOff>0</xdr:rowOff>
        </xdr:to>
        <xdr:sp macro="" textlink="">
          <xdr:nvSpPr>
            <xdr:cNvPr id="6184" name="Check Box 40" descr="Đã thanh toán" hidden="1">
              <a:extLst>
                <a:ext uri="{63B3BB69-23CF-44E3-9099-C40C66FF867C}">
                  <a14:compatExt spid="_x0000_s6184"/>
                </a:ext>
                <a:ext uri="{FF2B5EF4-FFF2-40B4-BE49-F238E27FC236}">
                  <a16:creationId xmlns:a16="http://schemas.microsoft.com/office/drawing/2014/main" id="{79D2EAEA-D6F0-904B-9EBB-9BF2E803D0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10</xdr:row>
          <xdr:rowOff>12700</xdr:rowOff>
        </xdr:from>
        <xdr:to>
          <xdr:col>9</xdr:col>
          <xdr:colOff>1384300</xdr:colOff>
          <xdr:row>11</xdr:row>
          <xdr:rowOff>0</xdr:rowOff>
        </xdr:to>
        <xdr:sp macro="" textlink="">
          <xdr:nvSpPr>
            <xdr:cNvPr id="6185" name="Check Box 41" descr="Đã thanh toán" hidden="1">
              <a:extLst>
                <a:ext uri="{63B3BB69-23CF-44E3-9099-C40C66FF867C}">
                  <a14:compatExt spid="_x0000_s6185"/>
                </a:ext>
                <a:ext uri="{FF2B5EF4-FFF2-40B4-BE49-F238E27FC236}">
                  <a16:creationId xmlns:a16="http://schemas.microsoft.com/office/drawing/2014/main" id="{6B39508C-3A20-F045-A6C0-4AADCC9FF8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9</xdr:row>
          <xdr:rowOff>12700</xdr:rowOff>
        </xdr:from>
        <xdr:to>
          <xdr:col>9</xdr:col>
          <xdr:colOff>1384300</xdr:colOff>
          <xdr:row>10</xdr:row>
          <xdr:rowOff>12700</xdr:rowOff>
        </xdr:to>
        <xdr:sp macro="" textlink="">
          <xdr:nvSpPr>
            <xdr:cNvPr id="6186" name="Check Box 42" descr="Đã thanh toán" hidden="1">
              <a:extLst>
                <a:ext uri="{63B3BB69-23CF-44E3-9099-C40C66FF867C}">
                  <a14:compatExt spid="_x0000_s6186"/>
                </a:ext>
                <a:ext uri="{FF2B5EF4-FFF2-40B4-BE49-F238E27FC236}">
                  <a16:creationId xmlns:a16="http://schemas.microsoft.com/office/drawing/2014/main" id="{701EB2A4-42FB-EE48-862B-90674B8485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15</xdr:row>
          <xdr:rowOff>12700</xdr:rowOff>
        </xdr:from>
        <xdr:to>
          <xdr:col>9</xdr:col>
          <xdr:colOff>1384300</xdr:colOff>
          <xdr:row>16</xdr:row>
          <xdr:rowOff>12700</xdr:rowOff>
        </xdr:to>
        <xdr:sp macro="" textlink="">
          <xdr:nvSpPr>
            <xdr:cNvPr id="6187" name="Check Box 43" descr="Đã thanh toán" hidden="1">
              <a:extLst>
                <a:ext uri="{63B3BB69-23CF-44E3-9099-C40C66FF867C}">
                  <a14:compatExt spid="_x0000_s6187"/>
                </a:ext>
                <a:ext uri="{FF2B5EF4-FFF2-40B4-BE49-F238E27FC236}">
                  <a16:creationId xmlns:a16="http://schemas.microsoft.com/office/drawing/2014/main" id="{4E2118BF-382C-D846-ABD5-30866BB866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16</xdr:row>
          <xdr:rowOff>12700</xdr:rowOff>
        </xdr:from>
        <xdr:to>
          <xdr:col>9</xdr:col>
          <xdr:colOff>1384300</xdr:colOff>
          <xdr:row>17</xdr:row>
          <xdr:rowOff>0</xdr:rowOff>
        </xdr:to>
        <xdr:sp macro="" textlink="">
          <xdr:nvSpPr>
            <xdr:cNvPr id="6188" name="Check Box 44" descr="Đã thanh toán" hidden="1">
              <a:extLst>
                <a:ext uri="{63B3BB69-23CF-44E3-9099-C40C66FF867C}">
                  <a14:compatExt spid="_x0000_s6188"/>
                </a:ext>
                <a:ext uri="{FF2B5EF4-FFF2-40B4-BE49-F238E27FC236}">
                  <a16:creationId xmlns:a16="http://schemas.microsoft.com/office/drawing/2014/main" id="{27216517-38CC-C74B-833B-88AB3C6DDB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17</xdr:row>
          <xdr:rowOff>12700</xdr:rowOff>
        </xdr:from>
        <xdr:to>
          <xdr:col>9</xdr:col>
          <xdr:colOff>1384300</xdr:colOff>
          <xdr:row>18</xdr:row>
          <xdr:rowOff>12700</xdr:rowOff>
        </xdr:to>
        <xdr:sp macro="" textlink="">
          <xdr:nvSpPr>
            <xdr:cNvPr id="6189" name="Check Box 45" descr="Đã thanh toán" hidden="1">
              <a:extLst>
                <a:ext uri="{63B3BB69-23CF-44E3-9099-C40C66FF867C}">
                  <a14:compatExt spid="_x0000_s6189"/>
                </a:ext>
                <a:ext uri="{FF2B5EF4-FFF2-40B4-BE49-F238E27FC236}">
                  <a16:creationId xmlns:a16="http://schemas.microsoft.com/office/drawing/2014/main" id="{AC8F6F53-83D5-0D4E-830F-D721A818D5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18</xdr:row>
          <xdr:rowOff>12700</xdr:rowOff>
        </xdr:from>
        <xdr:to>
          <xdr:col>9</xdr:col>
          <xdr:colOff>1384300</xdr:colOff>
          <xdr:row>19</xdr:row>
          <xdr:rowOff>0</xdr:rowOff>
        </xdr:to>
        <xdr:sp macro="" textlink="">
          <xdr:nvSpPr>
            <xdr:cNvPr id="6190" name="Check Box 46" descr="Đã thanh toán" hidden="1">
              <a:extLst>
                <a:ext uri="{63B3BB69-23CF-44E3-9099-C40C66FF867C}">
                  <a14:compatExt spid="_x0000_s6190"/>
                </a:ext>
                <a:ext uri="{FF2B5EF4-FFF2-40B4-BE49-F238E27FC236}">
                  <a16:creationId xmlns:a16="http://schemas.microsoft.com/office/drawing/2014/main" id="{106A0D75-87E7-9946-808E-7DC9926DE3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19</xdr:row>
          <xdr:rowOff>12700</xdr:rowOff>
        </xdr:from>
        <xdr:to>
          <xdr:col>9</xdr:col>
          <xdr:colOff>1384300</xdr:colOff>
          <xdr:row>19</xdr:row>
          <xdr:rowOff>200526</xdr:rowOff>
        </xdr:to>
        <xdr:sp macro="" textlink="">
          <xdr:nvSpPr>
            <xdr:cNvPr id="6191" name="Check Box 47" descr="Đã thanh toán" hidden="1">
              <a:extLst>
                <a:ext uri="{63B3BB69-23CF-44E3-9099-C40C66FF867C}">
                  <a14:compatExt spid="_x0000_s6191"/>
                </a:ext>
                <a:ext uri="{FF2B5EF4-FFF2-40B4-BE49-F238E27FC236}">
                  <a16:creationId xmlns:a16="http://schemas.microsoft.com/office/drawing/2014/main" id="{5C7E5E6A-960D-0E4A-8AC6-2908AD32A1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20</xdr:row>
          <xdr:rowOff>12700</xdr:rowOff>
        </xdr:from>
        <xdr:to>
          <xdr:col>9</xdr:col>
          <xdr:colOff>1384300</xdr:colOff>
          <xdr:row>21</xdr:row>
          <xdr:rowOff>0</xdr:rowOff>
        </xdr:to>
        <xdr:sp macro="" textlink="">
          <xdr:nvSpPr>
            <xdr:cNvPr id="6192" name="Check Box 48" descr="Đã thanh toán" hidden="1">
              <a:extLst>
                <a:ext uri="{63B3BB69-23CF-44E3-9099-C40C66FF867C}">
                  <a14:compatExt spid="_x0000_s6192"/>
                </a:ext>
                <a:ext uri="{FF2B5EF4-FFF2-40B4-BE49-F238E27FC236}">
                  <a16:creationId xmlns:a16="http://schemas.microsoft.com/office/drawing/2014/main" id="{F3FA230D-0A89-684C-8833-DF79CC2173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25</xdr:row>
          <xdr:rowOff>12700</xdr:rowOff>
        </xdr:from>
        <xdr:to>
          <xdr:col>9</xdr:col>
          <xdr:colOff>1384300</xdr:colOff>
          <xdr:row>26</xdr:row>
          <xdr:rowOff>0</xdr:rowOff>
        </xdr:to>
        <xdr:sp macro="" textlink="">
          <xdr:nvSpPr>
            <xdr:cNvPr id="6193" name="Check Box 49" descr="Đã thanh toán" hidden="1">
              <a:extLst>
                <a:ext uri="{63B3BB69-23CF-44E3-9099-C40C66FF867C}">
                  <a14:compatExt spid="_x0000_s6193"/>
                </a:ext>
                <a:ext uri="{FF2B5EF4-FFF2-40B4-BE49-F238E27FC236}">
                  <a16:creationId xmlns:a16="http://schemas.microsoft.com/office/drawing/2014/main" id="{FDDFAACA-351C-BC43-949D-FB02A2AF84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26</xdr:row>
          <xdr:rowOff>12700</xdr:rowOff>
        </xdr:from>
        <xdr:to>
          <xdr:col>9</xdr:col>
          <xdr:colOff>1384300</xdr:colOff>
          <xdr:row>27</xdr:row>
          <xdr:rowOff>0</xdr:rowOff>
        </xdr:to>
        <xdr:sp macro="" textlink="">
          <xdr:nvSpPr>
            <xdr:cNvPr id="6194" name="Check Box 50" descr="Đã thanh toán" hidden="1">
              <a:extLst>
                <a:ext uri="{63B3BB69-23CF-44E3-9099-C40C66FF867C}">
                  <a14:compatExt spid="_x0000_s6194"/>
                </a:ext>
                <a:ext uri="{FF2B5EF4-FFF2-40B4-BE49-F238E27FC236}">
                  <a16:creationId xmlns:a16="http://schemas.microsoft.com/office/drawing/2014/main" id="{30F4AC9B-0B00-3245-82D0-5840E945B5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24</xdr:row>
          <xdr:rowOff>12700</xdr:rowOff>
        </xdr:from>
        <xdr:to>
          <xdr:col>9</xdr:col>
          <xdr:colOff>1384300</xdr:colOff>
          <xdr:row>25</xdr:row>
          <xdr:rowOff>0</xdr:rowOff>
        </xdr:to>
        <xdr:sp macro="" textlink="">
          <xdr:nvSpPr>
            <xdr:cNvPr id="6195" name="Check Box 51" descr="Đã thanh toán" hidden="1">
              <a:extLst>
                <a:ext uri="{63B3BB69-23CF-44E3-9099-C40C66FF867C}">
                  <a14:compatExt spid="_x0000_s6195"/>
                </a:ext>
                <a:ext uri="{FF2B5EF4-FFF2-40B4-BE49-F238E27FC236}">
                  <a16:creationId xmlns:a16="http://schemas.microsoft.com/office/drawing/2014/main" id="{D5DF3F55-5CDF-D545-83FD-6EC41C11A8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23</xdr:row>
          <xdr:rowOff>12700</xdr:rowOff>
        </xdr:from>
        <xdr:to>
          <xdr:col>9</xdr:col>
          <xdr:colOff>1384300</xdr:colOff>
          <xdr:row>24</xdr:row>
          <xdr:rowOff>0</xdr:rowOff>
        </xdr:to>
        <xdr:sp macro="" textlink="">
          <xdr:nvSpPr>
            <xdr:cNvPr id="6196" name="Check Box 52" descr="Đã thanh toán" hidden="1">
              <a:extLst>
                <a:ext uri="{63B3BB69-23CF-44E3-9099-C40C66FF867C}">
                  <a14:compatExt spid="_x0000_s6196"/>
                </a:ext>
                <a:ext uri="{FF2B5EF4-FFF2-40B4-BE49-F238E27FC236}">
                  <a16:creationId xmlns:a16="http://schemas.microsoft.com/office/drawing/2014/main" id="{1753C017-5477-F342-B6E2-A1C403591A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22</xdr:row>
          <xdr:rowOff>12700</xdr:rowOff>
        </xdr:from>
        <xdr:to>
          <xdr:col>9</xdr:col>
          <xdr:colOff>1384300</xdr:colOff>
          <xdr:row>23</xdr:row>
          <xdr:rowOff>0</xdr:rowOff>
        </xdr:to>
        <xdr:sp macro="" textlink="">
          <xdr:nvSpPr>
            <xdr:cNvPr id="6197" name="Check Box 53" descr="Đã thanh toán" hidden="1">
              <a:extLst>
                <a:ext uri="{63B3BB69-23CF-44E3-9099-C40C66FF867C}">
                  <a14:compatExt spid="_x0000_s6197"/>
                </a:ext>
                <a:ext uri="{FF2B5EF4-FFF2-40B4-BE49-F238E27FC236}">
                  <a16:creationId xmlns:a16="http://schemas.microsoft.com/office/drawing/2014/main" id="{8F9DF643-4F34-494F-A6E7-50B5A9D25C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28</xdr:row>
          <xdr:rowOff>12700</xdr:rowOff>
        </xdr:from>
        <xdr:to>
          <xdr:col>9</xdr:col>
          <xdr:colOff>1384300</xdr:colOff>
          <xdr:row>28</xdr:row>
          <xdr:rowOff>200526</xdr:rowOff>
        </xdr:to>
        <xdr:sp macro="" textlink="">
          <xdr:nvSpPr>
            <xdr:cNvPr id="6198" name="Check Box 54" descr="Đã thanh toán" hidden="1">
              <a:extLst>
                <a:ext uri="{63B3BB69-23CF-44E3-9099-C40C66FF867C}">
                  <a14:compatExt spid="_x0000_s6198"/>
                </a:ext>
                <a:ext uri="{FF2B5EF4-FFF2-40B4-BE49-F238E27FC236}">
                  <a16:creationId xmlns:a16="http://schemas.microsoft.com/office/drawing/2014/main" id="{F1CEC87F-7AE7-EA4C-86E2-04C5A6ECB1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29</xdr:row>
          <xdr:rowOff>12700</xdr:rowOff>
        </xdr:from>
        <xdr:to>
          <xdr:col>9</xdr:col>
          <xdr:colOff>1384300</xdr:colOff>
          <xdr:row>30</xdr:row>
          <xdr:rowOff>0</xdr:rowOff>
        </xdr:to>
        <xdr:sp macro="" textlink="">
          <xdr:nvSpPr>
            <xdr:cNvPr id="6199" name="Check Box 55" descr="Đã thanh toán" hidden="1">
              <a:extLst>
                <a:ext uri="{63B3BB69-23CF-44E3-9099-C40C66FF867C}">
                  <a14:compatExt spid="_x0000_s6199"/>
                </a:ext>
                <a:ext uri="{FF2B5EF4-FFF2-40B4-BE49-F238E27FC236}">
                  <a16:creationId xmlns:a16="http://schemas.microsoft.com/office/drawing/2014/main" id="{4E0A9934-7070-C146-9FC1-57528CDCF2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30</xdr:row>
          <xdr:rowOff>12700</xdr:rowOff>
        </xdr:from>
        <xdr:to>
          <xdr:col>9</xdr:col>
          <xdr:colOff>1384300</xdr:colOff>
          <xdr:row>31</xdr:row>
          <xdr:rowOff>0</xdr:rowOff>
        </xdr:to>
        <xdr:sp macro="" textlink="">
          <xdr:nvSpPr>
            <xdr:cNvPr id="6200" name="Check Box 56" descr="Đã thanh toán" hidden="1">
              <a:extLst>
                <a:ext uri="{63B3BB69-23CF-44E3-9099-C40C66FF867C}">
                  <a14:compatExt spid="_x0000_s6200"/>
                </a:ext>
                <a:ext uri="{FF2B5EF4-FFF2-40B4-BE49-F238E27FC236}">
                  <a16:creationId xmlns:a16="http://schemas.microsoft.com/office/drawing/2014/main" id="{24F2C715-8DF2-0841-A520-8C6E986840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32</xdr:row>
          <xdr:rowOff>12700</xdr:rowOff>
        </xdr:from>
        <xdr:to>
          <xdr:col>9</xdr:col>
          <xdr:colOff>1384300</xdr:colOff>
          <xdr:row>33</xdr:row>
          <xdr:rowOff>0</xdr:rowOff>
        </xdr:to>
        <xdr:sp macro="" textlink="">
          <xdr:nvSpPr>
            <xdr:cNvPr id="6201" name="Check Box 57" descr="Đã thanh toán" hidden="1">
              <a:extLst>
                <a:ext uri="{63B3BB69-23CF-44E3-9099-C40C66FF867C}">
                  <a14:compatExt spid="_x0000_s6201"/>
                </a:ext>
                <a:ext uri="{FF2B5EF4-FFF2-40B4-BE49-F238E27FC236}">
                  <a16:creationId xmlns:a16="http://schemas.microsoft.com/office/drawing/2014/main" id="{AF41CD37-CA49-6648-8F92-53B7A4ADF2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33</xdr:row>
          <xdr:rowOff>12700</xdr:rowOff>
        </xdr:from>
        <xdr:to>
          <xdr:col>9</xdr:col>
          <xdr:colOff>1384300</xdr:colOff>
          <xdr:row>34</xdr:row>
          <xdr:rowOff>0</xdr:rowOff>
        </xdr:to>
        <xdr:sp macro="" textlink="">
          <xdr:nvSpPr>
            <xdr:cNvPr id="6202" name="Check Box 58" descr="Đã thanh toán" hidden="1">
              <a:extLst>
                <a:ext uri="{63B3BB69-23CF-44E3-9099-C40C66FF867C}">
                  <a14:compatExt spid="_x0000_s6202"/>
                </a:ext>
                <a:ext uri="{FF2B5EF4-FFF2-40B4-BE49-F238E27FC236}">
                  <a16:creationId xmlns:a16="http://schemas.microsoft.com/office/drawing/2014/main" id="{A2F49707-F016-B048-BCD8-7DEA792D07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34</xdr:row>
          <xdr:rowOff>12700</xdr:rowOff>
        </xdr:from>
        <xdr:to>
          <xdr:col>9</xdr:col>
          <xdr:colOff>1384300</xdr:colOff>
          <xdr:row>35</xdr:row>
          <xdr:rowOff>0</xdr:rowOff>
        </xdr:to>
        <xdr:sp macro="" textlink="">
          <xdr:nvSpPr>
            <xdr:cNvPr id="6203" name="Check Box 59" descr="Đã thanh toán" hidden="1">
              <a:extLst>
                <a:ext uri="{63B3BB69-23CF-44E3-9099-C40C66FF867C}">
                  <a14:compatExt spid="_x0000_s6203"/>
                </a:ext>
                <a:ext uri="{FF2B5EF4-FFF2-40B4-BE49-F238E27FC236}">
                  <a16:creationId xmlns:a16="http://schemas.microsoft.com/office/drawing/2014/main" id="{DC8D9177-E3F9-4345-B50C-5906D65188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Đã thanh toán</a:t>
              </a: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Calibri" pitchFamily="2" charset="0"/>
                <a:cs typeface="Calibri" pitchFamily="2" charset="0"/>
              </a:endParaRP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39.xml"/><Relationship Id="rId18" Type="http://schemas.openxmlformats.org/officeDocument/2006/relationships/ctrlProp" Target="../ctrlProps/ctrlProp44.xml"/><Relationship Id="rId26" Type="http://schemas.openxmlformats.org/officeDocument/2006/relationships/ctrlProp" Target="../ctrlProps/ctrlProp52.xml"/><Relationship Id="rId39" Type="http://schemas.openxmlformats.org/officeDocument/2006/relationships/ctrlProp" Target="../ctrlProps/ctrlProp65.xml"/><Relationship Id="rId21" Type="http://schemas.openxmlformats.org/officeDocument/2006/relationships/ctrlProp" Target="../ctrlProps/ctrlProp47.xml"/><Relationship Id="rId34" Type="http://schemas.openxmlformats.org/officeDocument/2006/relationships/ctrlProp" Target="../ctrlProps/ctrlProp60.xml"/><Relationship Id="rId42" Type="http://schemas.openxmlformats.org/officeDocument/2006/relationships/ctrlProp" Target="../ctrlProps/ctrlProp68.xml"/><Relationship Id="rId47" Type="http://schemas.openxmlformats.org/officeDocument/2006/relationships/ctrlProp" Target="../ctrlProps/ctrlProp73.xml"/><Relationship Id="rId50" Type="http://schemas.openxmlformats.org/officeDocument/2006/relationships/ctrlProp" Target="../ctrlProps/ctrlProp76.xml"/><Relationship Id="rId7" Type="http://schemas.openxmlformats.org/officeDocument/2006/relationships/ctrlProp" Target="../ctrlProps/ctrlProp33.xml"/><Relationship Id="rId2" Type="http://schemas.openxmlformats.org/officeDocument/2006/relationships/vmlDrawing" Target="../drawings/vmlDrawing2.vml"/><Relationship Id="rId16" Type="http://schemas.openxmlformats.org/officeDocument/2006/relationships/ctrlProp" Target="../ctrlProps/ctrlProp42.xml"/><Relationship Id="rId29" Type="http://schemas.openxmlformats.org/officeDocument/2006/relationships/ctrlProp" Target="../ctrlProps/ctrlProp55.xml"/><Relationship Id="rId11" Type="http://schemas.openxmlformats.org/officeDocument/2006/relationships/ctrlProp" Target="../ctrlProps/ctrlProp37.xml"/><Relationship Id="rId24" Type="http://schemas.openxmlformats.org/officeDocument/2006/relationships/ctrlProp" Target="../ctrlProps/ctrlProp50.xml"/><Relationship Id="rId32" Type="http://schemas.openxmlformats.org/officeDocument/2006/relationships/ctrlProp" Target="../ctrlProps/ctrlProp58.xml"/><Relationship Id="rId37" Type="http://schemas.openxmlformats.org/officeDocument/2006/relationships/ctrlProp" Target="../ctrlProps/ctrlProp63.xml"/><Relationship Id="rId40" Type="http://schemas.openxmlformats.org/officeDocument/2006/relationships/ctrlProp" Target="../ctrlProps/ctrlProp66.xml"/><Relationship Id="rId45" Type="http://schemas.openxmlformats.org/officeDocument/2006/relationships/ctrlProp" Target="../ctrlProps/ctrlProp71.xml"/><Relationship Id="rId5" Type="http://schemas.openxmlformats.org/officeDocument/2006/relationships/ctrlProp" Target="../ctrlProps/ctrlProp31.xml"/><Relationship Id="rId15" Type="http://schemas.openxmlformats.org/officeDocument/2006/relationships/ctrlProp" Target="../ctrlProps/ctrlProp41.xml"/><Relationship Id="rId23" Type="http://schemas.openxmlformats.org/officeDocument/2006/relationships/ctrlProp" Target="../ctrlProps/ctrlProp49.xml"/><Relationship Id="rId28" Type="http://schemas.openxmlformats.org/officeDocument/2006/relationships/ctrlProp" Target="../ctrlProps/ctrlProp54.xml"/><Relationship Id="rId36" Type="http://schemas.openxmlformats.org/officeDocument/2006/relationships/ctrlProp" Target="../ctrlProps/ctrlProp62.xml"/><Relationship Id="rId49" Type="http://schemas.openxmlformats.org/officeDocument/2006/relationships/ctrlProp" Target="../ctrlProps/ctrlProp75.xml"/><Relationship Id="rId10" Type="http://schemas.openxmlformats.org/officeDocument/2006/relationships/ctrlProp" Target="../ctrlProps/ctrlProp36.xml"/><Relationship Id="rId19" Type="http://schemas.openxmlformats.org/officeDocument/2006/relationships/ctrlProp" Target="../ctrlProps/ctrlProp45.xml"/><Relationship Id="rId31" Type="http://schemas.openxmlformats.org/officeDocument/2006/relationships/ctrlProp" Target="../ctrlProps/ctrlProp57.xml"/><Relationship Id="rId44" Type="http://schemas.openxmlformats.org/officeDocument/2006/relationships/ctrlProp" Target="../ctrlProps/ctrlProp70.xml"/><Relationship Id="rId52" Type="http://schemas.openxmlformats.org/officeDocument/2006/relationships/ctrlProp" Target="../ctrlProps/ctrlProp78.xml"/><Relationship Id="rId4" Type="http://schemas.openxmlformats.org/officeDocument/2006/relationships/ctrlProp" Target="../ctrlProps/ctrlProp30.xml"/><Relationship Id="rId9" Type="http://schemas.openxmlformats.org/officeDocument/2006/relationships/ctrlProp" Target="../ctrlProps/ctrlProp35.xml"/><Relationship Id="rId14" Type="http://schemas.openxmlformats.org/officeDocument/2006/relationships/ctrlProp" Target="../ctrlProps/ctrlProp40.xml"/><Relationship Id="rId22" Type="http://schemas.openxmlformats.org/officeDocument/2006/relationships/ctrlProp" Target="../ctrlProps/ctrlProp48.xml"/><Relationship Id="rId27" Type="http://schemas.openxmlformats.org/officeDocument/2006/relationships/ctrlProp" Target="../ctrlProps/ctrlProp53.xml"/><Relationship Id="rId30" Type="http://schemas.openxmlformats.org/officeDocument/2006/relationships/ctrlProp" Target="../ctrlProps/ctrlProp56.xml"/><Relationship Id="rId35" Type="http://schemas.openxmlformats.org/officeDocument/2006/relationships/ctrlProp" Target="../ctrlProps/ctrlProp61.xml"/><Relationship Id="rId43" Type="http://schemas.openxmlformats.org/officeDocument/2006/relationships/ctrlProp" Target="../ctrlProps/ctrlProp69.xml"/><Relationship Id="rId48" Type="http://schemas.openxmlformats.org/officeDocument/2006/relationships/ctrlProp" Target="../ctrlProps/ctrlProp74.xml"/><Relationship Id="rId8" Type="http://schemas.openxmlformats.org/officeDocument/2006/relationships/ctrlProp" Target="../ctrlProps/ctrlProp34.xml"/><Relationship Id="rId51" Type="http://schemas.openxmlformats.org/officeDocument/2006/relationships/ctrlProp" Target="../ctrlProps/ctrlProp77.xml"/><Relationship Id="rId3" Type="http://schemas.openxmlformats.org/officeDocument/2006/relationships/ctrlProp" Target="../ctrlProps/ctrlProp29.xml"/><Relationship Id="rId12" Type="http://schemas.openxmlformats.org/officeDocument/2006/relationships/ctrlProp" Target="../ctrlProps/ctrlProp38.xml"/><Relationship Id="rId17" Type="http://schemas.openxmlformats.org/officeDocument/2006/relationships/ctrlProp" Target="../ctrlProps/ctrlProp43.xml"/><Relationship Id="rId25" Type="http://schemas.openxmlformats.org/officeDocument/2006/relationships/ctrlProp" Target="../ctrlProps/ctrlProp51.xml"/><Relationship Id="rId33" Type="http://schemas.openxmlformats.org/officeDocument/2006/relationships/ctrlProp" Target="../ctrlProps/ctrlProp59.xml"/><Relationship Id="rId38" Type="http://schemas.openxmlformats.org/officeDocument/2006/relationships/ctrlProp" Target="../ctrlProps/ctrlProp64.xml"/><Relationship Id="rId46" Type="http://schemas.openxmlformats.org/officeDocument/2006/relationships/ctrlProp" Target="../ctrlProps/ctrlProp72.xml"/><Relationship Id="rId20" Type="http://schemas.openxmlformats.org/officeDocument/2006/relationships/ctrlProp" Target="../ctrlProps/ctrlProp46.xml"/><Relationship Id="rId41" Type="http://schemas.openxmlformats.org/officeDocument/2006/relationships/ctrlProp" Target="../ctrlProps/ctrlProp67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opLeftCell="A9" zoomScale="109" workbookViewId="0">
      <selection activeCell="G36" sqref="G36"/>
    </sheetView>
  </sheetViews>
  <sheetFormatPr baseColWidth="10" defaultColWidth="8.83203125" defaultRowHeight="15" x14ac:dyDescent="0.2"/>
  <cols>
    <col min="1" max="1" width="5" style="24" customWidth="1"/>
    <col min="2" max="2" width="8" customWidth="1"/>
    <col min="3" max="3" width="30" style="20" customWidth="1"/>
    <col min="4" max="4" width="45" customWidth="1"/>
    <col min="5" max="5" width="12" style="5" customWidth="1"/>
    <col min="6" max="6" width="18" style="5" customWidth="1"/>
    <col min="7" max="7" width="20" style="5" customWidth="1"/>
    <col min="8" max="8" width="35" customWidth="1"/>
  </cols>
  <sheetData>
    <row r="1" spans="1:8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x14ac:dyDescent="0.2">
      <c r="A2" s="15" t="s">
        <v>8</v>
      </c>
      <c r="B2" s="16"/>
      <c r="C2" s="16"/>
      <c r="D2" s="16"/>
      <c r="E2" s="16"/>
      <c r="F2" s="16"/>
      <c r="G2" s="16"/>
      <c r="H2" s="17"/>
    </row>
    <row r="3" spans="1:8" ht="16" x14ac:dyDescent="0.2">
      <c r="A3" s="21">
        <v>1</v>
      </c>
      <c r="B3" s="7"/>
      <c r="C3" s="14" t="s">
        <v>9</v>
      </c>
      <c r="D3" s="7" t="s">
        <v>10</v>
      </c>
      <c r="E3" s="8">
        <v>0</v>
      </c>
      <c r="F3" s="8">
        <v>0</v>
      </c>
      <c r="G3" s="8">
        <f>E3*F3</f>
        <v>0</v>
      </c>
      <c r="H3" s="7"/>
    </row>
    <row r="4" spans="1:8" ht="16" x14ac:dyDescent="0.2">
      <c r="A4" s="21">
        <v>2</v>
      </c>
      <c r="B4" s="7"/>
      <c r="C4" s="14" t="s">
        <v>11</v>
      </c>
      <c r="D4" s="7" t="s">
        <v>12</v>
      </c>
      <c r="E4" s="8">
        <v>0</v>
      </c>
      <c r="F4" s="8">
        <v>0</v>
      </c>
      <c r="G4" s="8">
        <f t="shared" ref="G4:G8" si="0">E4*F4</f>
        <v>0</v>
      </c>
      <c r="H4" s="7"/>
    </row>
    <row r="5" spans="1:8" ht="32" x14ac:dyDescent="0.2">
      <c r="A5" s="21">
        <v>3</v>
      </c>
      <c r="B5" s="7"/>
      <c r="C5" s="14" t="s">
        <v>13</v>
      </c>
      <c r="D5" s="7" t="s">
        <v>14</v>
      </c>
      <c r="E5" s="8">
        <v>0</v>
      </c>
      <c r="F5" s="8">
        <v>0</v>
      </c>
      <c r="G5" s="8">
        <f t="shared" si="0"/>
        <v>0</v>
      </c>
      <c r="H5" s="7"/>
    </row>
    <row r="6" spans="1:8" ht="16" x14ac:dyDescent="0.2">
      <c r="A6" s="21">
        <v>4</v>
      </c>
      <c r="B6" s="7"/>
      <c r="C6" s="14" t="s">
        <v>15</v>
      </c>
      <c r="D6" s="7" t="s">
        <v>16</v>
      </c>
      <c r="E6" s="8">
        <v>0</v>
      </c>
      <c r="F6" s="8">
        <v>0</v>
      </c>
      <c r="G6" s="8">
        <f t="shared" si="0"/>
        <v>0</v>
      </c>
      <c r="H6" s="7"/>
    </row>
    <row r="7" spans="1:8" ht="16" x14ac:dyDescent="0.2">
      <c r="A7" s="21">
        <v>5</v>
      </c>
      <c r="B7" s="7"/>
      <c r="C7" s="14" t="s">
        <v>17</v>
      </c>
      <c r="D7" s="7" t="s">
        <v>18</v>
      </c>
      <c r="E7" s="8">
        <v>0</v>
      </c>
      <c r="F7" s="8">
        <v>0</v>
      </c>
      <c r="G7" s="8">
        <f t="shared" si="0"/>
        <v>0</v>
      </c>
      <c r="H7" s="7"/>
    </row>
    <row r="8" spans="1:8" ht="16" x14ac:dyDescent="0.2">
      <c r="A8" s="21">
        <v>6</v>
      </c>
      <c r="B8" s="7"/>
      <c r="C8" s="14" t="s">
        <v>19</v>
      </c>
      <c r="D8" s="7" t="s">
        <v>20</v>
      </c>
      <c r="E8" s="8">
        <v>0</v>
      </c>
      <c r="F8" s="8">
        <v>0</v>
      </c>
      <c r="G8" s="8">
        <f t="shared" si="0"/>
        <v>0</v>
      </c>
      <c r="H8" s="7"/>
    </row>
    <row r="9" spans="1:8" ht="24" x14ac:dyDescent="0.2">
      <c r="A9" s="15" t="s">
        <v>21</v>
      </c>
      <c r="B9" s="16"/>
      <c r="C9" s="16"/>
      <c r="D9" s="16"/>
      <c r="E9" s="16"/>
      <c r="F9" s="16"/>
      <c r="G9" s="16"/>
      <c r="H9" s="17"/>
    </row>
    <row r="10" spans="1:8" ht="16" customHeight="1" x14ac:dyDescent="0.2">
      <c r="A10" s="22">
        <v>1</v>
      </c>
      <c r="B10" s="9"/>
      <c r="C10" s="25" t="s">
        <v>22</v>
      </c>
      <c r="D10" s="10" t="s">
        <v>62</v>
      </c>
      <c r="E10" s="11">
        <v>1</v>
      </c>
      <c r="F10" s="12">
        <v>289000</v>
      </c>
      <c r="G10" s="8">
        <f t="shared" ref="G10:G14" si="1">E10*F10</f>
        <v>289000</v>
      </c>
      <c r="H10" s="10"/>
    </row>
    <row r="11" spans="1:8" ht="16" x14ac:dyDescent="0.2">
      <c r="A11" s="22">
        <v>2</v>
      </c>
      <c r="B11" s="7"/>
      <c r="C11" s="26"/>
      <c r="D11" s="7" t="s">
        <v>56</v>
      </c>
      <c r="E11" s="8">
        <v>1</v>
      </c>
      <c r="F11" s="8">
        <v>200000</v>
      </c>
      <c r="G11" s="8">
        <f>E11*F11</f>
        <v>200000</v>
      </c>
      <c r="H11" s="7"/>
    </row>
    <row r="12" spans="1:8" ht="16" x14ac:dyDescent="0.2">
      <c r="A12" s="22">
        <v>3</v>
      </c>
      <c r="B12" s="7"/>
      <c r="C12" s="14" t="s">
        <v>23</v>
      </c>
      <c r="D12" s="7" t="s">
        <v>58</v>
      </c>
      <c r="E12" s="8">
        <v>1</v>
      </c>
      <c r="F12" s="8">
        <v>300000</v>
      </c>
      <c r="G12" s="8">
        <f t="shared" si="1"/>
        <v>300000</v>
      </c>
      <c r="H12" s="7"/>
    </row>
    <row r="13" spans="1:8" ht="16" x14ac:dyDescent="0.2">
      <c r="A13" s="22">
        <v>4</v>
      </c>
      <c r="B13" s="7"/>
      <c r="C13" s="14" t="s">
        <v>24</v>
      </c>
      <c r="D13" s="7" t="s">
        <v>25</v>
      </c>
      <c r="E13" s="8">
        <v>0</v>
      </c>
      <c r="F13" s="8">
        <v>0</v>
      </c>
      <c r="G13" s="8">
        <f t="shared" si="1"/>
        <v>0</v>
      </c>
      <c r="H13" s="7"/>
    </row>
    <row r="14" spans="1:8" ht="16" x14ac:dyDescent="0.2">
      <c r="A14" s="22">
        <v>5</v>
      </c>
      <c r="B14" s="7"/>
      <c r="C14" s="14" t="s">
        <v>26</v>
      </c>
      <c r="D14" s="7" t="s">
        <v>64</v>
      </c>
      <c r="E14" s="8">
        <v>0</v>
      </c>
      <c r="F14" s="8">
        <v>0</v>
      </c>
      <c r="G14" s="8">
        <f t="shared" si="1"/>
        <v>0</v>
      </c>
      <c r="H14" s="7"/>
    </row>
    <row r="15" spans="1:8" ht="24" x14ac:dyDescent="0.2">
      <c r="A15" s="15" t="s">
        <v>27</v>
      </c>
      <c r="B15" s="16"/>
      <c r="C15" s="16"/>
      <c r="D15" s="16"/>
      <c r="E15" s="16"/>
      <c r="F15" s="16"/>
      <c r="G15" s="16"/>
      <c r="H15" s="17"/>
    </row>
    <row r="16" spans="1:8" ht="16" customHeight="1" x14ac:dyDescent="0.2">
      <c r="A16" s="27">
        <v>1</v>
      </c>
      <c r="B16" s="28"/>
      <c r="C16" s="29" t="s">
        <v>28</v>
      </c>
      <c r="D16" s="30" t="s">
        <v>54</v>
      </c>
      <c r="E16" s="31">
        <v>1</v>
      </c>
      <c r="F16" s="32">
        <v>499000</v>
      </c>
      <c r="G16" s="33">
        <f t="shared" ref="G16:G21" si="2">E16*F16</f>
        <v>499000</v>
      </c>
      <c r="H16" s="30" t="s">
        <v>79</v>
      </c>
    </row>
    <row r="17" spans="1:8" ht="16" x14ac:dyDescent="0.2">
      <c r="A17" s="27">
        <v>2</v>
      </c>
      <c r="B17" s="28"/>
      <c r="C17" s="34"/>
      <c r="D17" s="30" t="s">
        <v>57</v>
      </c>
      <c r="E17" s="31">
        <v>1</v>
      </c>
      <c r="F17" s="31">
        <v>0</v>
      </c>
      <c r="G17" s="33">
        <f t="shared" si="2"/>
        <v>0</v>
      </c>
      <c r="H17" s="7" t="s">
        <v>80</v>
      </c>
    </row>
    <row r="18" spans="1:8" ht="16" x14ac:dyDescent="0.2">
      <c r="A18" s="27">
        <v>3</v>
      </c>
      <c r="B18" s="28"/>
      <c r="C18" s="34"/>
      <c r="D18" s="30" t="s">
        <v>61</v>
      </c>
      <c r="E18" s="31">
        <v>1</v>
      </c>
      <c r="F18" s="32">
        <v>292000</v>
      </c>
      <c r="G18" s="33">
        <f t="shared" si="2"/>
        <v>292000</v>
      </c>
      <c r="H18" s="7" t="s">
        <v>82</v>
      </c>
    </row>
    <row r="19" spans="1:8" ht="16" x14ac:dyDescent="0.2">
      <c r="A19" s="27">
        <v>4</v>
      </c>
      <c r="B19" s="35"/>
      <c r="C19" s="36"/>
      <c r="D19" s="35" t="s">
        <v>55</v>
      </c>
      <c r="E19" s="33">
        <v>1</v>
      </c>
      <c r="F19" s="33">
        <v>599000</v>
      </c>
      <c r="G19" s="33">
        <f t="shared" si="2"/>
        <v>599000</v>
      </c>
      <c r="H19" s="7" t="s">
        <v>81</v>
      </c>
    </row>
    <row r="20" spans="1:8" ht="16" customHeight="1" x14ac:dyDescent="0.2">
      <c r="A20" s="22">
        <v>5</v>
      </c>
      <c r="B20" s="9"/>
      <c r="C20" s="25" t="s">
        <v>63</v>
      </c>
      <c r="D20" s="10" t="s">
        <v>59</v>
      </c>
      <c r="E20" s="11">
        <v>1</v>
      </c>
      <c r="F20" s="12">
        <v>79000</v>
      </c>
      <c r="G20" s="8">
        <f t="shared" si="2"/>
        <v>79000</v>
      </c>
      <c r="H20" s="7" t="s">
        <v>78</v>
      </c>
    </row>
    <row r="21" spans="1:8" ht="16" x14ac:dyDescent="0.2">
      <c r="A21" s="22">
        <v>6</v>
      </c>
      <c r="B21" s="9"/>
      <c r="C21" s="26"/>
      <c r="D21" s="10" t="s">
        <v>60</v>
      </c>
      <c r="E21" s="11">
        <v>1</v>
      </c>
      <c r="F21" s="12">
        <v>79000</v>
      </c>
      <c r="G21" s="8">
        <f t="shared" si="2"/>
        <v>79000</v>
      </c>
      <c r="H21" s="7" t="s">
        <v>78</v>
      </c>
    </row>
    <row r="22" spans="1:8" ht="24" x14ac:dyDescent="0.2">
      <c r="A22" s="15" t="s">
        <v>29</v>
      </c>
      <c r="B22" s="16"/>
      <c r="C22" s="16"/>
      <c r="D22" s="16"/>
      <c r="E22" s="16"/>
      <c r="F22" s="16"/>
      <c r="G22" s="16"/>
      <c r="H22" s="17"/>
    </row>
    <row r="23" spans="1:8" ht="16" x14ac:dyDescent="0.2">
      <c r="A23" s="21">
        <v>1</v>
      </c>
      <c r="B23" s="7"/>
      <c r="C23" s="14" t="s">
        <v>30</v>
      </c>
      <c r="D23" s="7" t="s">
        <v>31</v>
      </c>
      <c r="E23" s="8">
        <v>0</v>
      </c>
      <c r="F23" s="8">
        <v>0</v>
      </c>
      <c r="G23" s="8">
        <f>E23*F23</f>
        <v>0</v>
      </c>
      <c r="H23" s="7" t="s">
        <v>83</v>
      </c>
    </row>
    <row r="24" spans="1:8" ht="16" x14ac:dyDescent="0.2">
      <c r="A24" s="21">
        <v>2</v>
      </c>
      <c r="B24" s="7"/>
      <c r="C24" s="14" t="s">
        <v>32</v>
      </c>
      <c r="D24" s="7" t="s">
        <v>33</v>
      </c>
      <c r="E24" s="8">
        <v>0</v>
      </c>
      <c r="F24" s="8">
        <v>0</v>
      </c>
      <c r="G24" s="8">
        <f t="shared" ref="G24:G27" si="3">E24*F24</f>
        <v>0</v>
      </c>
      <c r="H24" s="7" t="s">
        <v>83</v>
      </c>
    </row>
    <row r="25" spans="1:8" ht="16" x14ac:dyDescent="0.2">
      <c r="A25" s="21">
        <v>3</v>
      </c>
      <c r="B25" s="7"/>
      <c r="C25" s="14" t="s">
        <v>34</v>
      </c>
      <c r="D25" s="7" t="s">
        <v>35</v>
      </c>
      <c r="E25" s="8">
        <v>0</v>
      </c>
      <c r="F25" s="8">
        <v>0</v>
      </c>
      <c r="G25" s="8">
        <f t="shared" si="3"/>
        <v>0</v>
      </c>
      <c r="H25" s="7" t="s">
        <v>83</v>
      </c>
    </row>
    <row r="26" spans="1:8" ht="16" x14ac:dyDescent="0.2">
      <c r="A26" s="21">
        <v>4</v>
      </c>
      <c r="B26" s="7"/>
      <c r="C26" s="14" t="s">
        <v>36</v>
      </c>
      <c r="D26" s="7" t="s">
        <v>58</v>
      </c>
      <c r="E26" s="8">
        <v>1</v>
      </c>
      <c r="F26" s="13">
        <v>256000</v>
      </c>
      <c r="G26" s="8">
        <f t="shared" si="3"/>
        <v>256000</v>
      </c>
      <c r="H26" s="7"/>
    </row>
    <row r="27" spans="1:8" ht="16" x14ac:dyDescent="0.2">
      <c r="A27" s="21">
        <v>5</v>
      </c>
      <c r="B27" s="7"/>
      <c r="C27" s="14" t="s">
        <v>37</v>
      </c>
      <c r="D27" s="7" t="s">
        <v>38</v>
      </c>
      <c r="E27" s="8">
        <v>0</v>
      </c>
      <c r="F27" s="8">
        <v>0</v>
      </c>
      <c r="G27" s="8">
        <f t="shared" si="3"/>
        <v>0</v>
      </c>
      <c r="H27" s="7" t="s">
        <v>83</v>
      </c>
    </row>
    <row r="28" spans="1:8" ht="24" x14ac:dyDescent="0.2">
      <c r="A28" s="15" t="s">
        <v>39</v>
      </c>
      <c r="B28" s="16"/>
      <c r="C28" s="16"/>
      <c r="D28" s="16"/>
      <c r="E28" s="16"/>
      <c r="F28" s="16"/>
      <c r="G28" s="16"/>
      <c r="H28" s="17"/>
    </row>
    <row r="29" spans="1:8" ht="16" x14ac:dyDescent="0.2">
      <c r="A29" s="21">
        <v>1</v>
      </c>
      <c r="B29" s="7"/>
      <c r="C29" s="14" t="s">
        <v>40</v>
      </c>
      <c r="D29" s="7" t="s">
        <v>41</v>
      </c>
      <c r="E29" s="8">
        <v>0</v>
      </c>
      <c r="F29" s="8">
        <v>0</v>
      </c>
      <c r="G29" s="8">
        <f>E29*F29</f>
        <v>0</v>
      </c>
      <c r="H29" s="7"/>
    </row>
    <row r="30" spans="1:8" ht="16" x14ac:dyDescent="0.2">
      <c r="A30" s="21">
        <v>2</v>
      </c>
      <c r="B30" s="7"/>
      <c r="C30" s="14" t="s">
        <v>42</v>
      </c>
      <c r="D30" s="7" t="s">
        <v>43</v>
      </c>
      <c r="E30" s="8">
        <v>0</v>
      </c>
      <c r="F30" s="8">
        <v>0</v>
      </c>
      <c r="G30" s="8">
        <f>E30*F30</f>
        <v>0</v>
      </c>
      <c r="H30" s="7"/>
    </row>
    <row r="31" spans="1:8" ht="16" x14ac:dyDescent="0.2">
      <c r="A31" s="21">
        <v>3</v>
      </c>
      <c r="B31" s="7"/>
      <c r="C31" s="14" t="s">
        <v>44</v>
      </c>
      <c r="D31" s="7" t="s">
        <v>45</v>
      </c>
      <c r="E31" s="8">
        <v>0</v>
      </c>
      <c r="F31" s="8">
        <v>0</v>
      </c>
      <c r="G31" s="8">
        <f>E31*F31</f>
        <v>0</v>
      </c>
      <c r="H31" s="7"/>
    </row>
    <row r="32" spans="1:8" ht="24" x14ac:dyDescent="0.2">
      <c r="A32" s="15" t="s">
        <v>46</v>
      </c>
      <c r="B32" s="16"/>
      <c r="C32" s="16"/>
      <c r="D32" s="16"/>
      <c r="E32" s="16"/>
      <c r="F32" s="16"/>
      <c r="G32" s="16"/>
      <c r="H32" s="17"/>
    </row>
    <row r="33" spans="1:8" ht="16" x14ac:dyDescent="0.2">
      <c r="A33" s="21">
        <v>1</v>
      </c>
      <c r="B33" s="7"/>
      <c r="C33" s="14" t="s">
        <v>47</v>
      </c>
      <c r="D33" s="7" t="s">
        <v>48</v>
      </c>
      <c r="E33" s="8">
        <v>0</v>
      </c>
      <c r="F33" s="8">
        <v>0</v>
      </c>
      <c r="G33" s="8">
        <f>E33*F33</f>
        <v>0</v>
      </c>
      <c r="H33" s="7"/>
    </row>
    <row r="34" spans="1:8" ht="16" x14ac:dyDescent="0.2">
      <c r="A34" s="21">
        <v>2</v>
      </c>
      <c r="B34" s="7"/>
      <c r="C34" s="14" t="s">
        <v>49</v>
      </c>
      <c r="D34" s="7" t="s">
        <v>50</v>
      </c>
      <c r="E34" s="8">
        <v>0</v>
      </c>
      <c r="F34" s="8">
        <v>0</v>
      </c>
      <c r="G34" s="8">
        <f>E34*F34</f>
        <v>0</v>
      </c>
      <c r="H34" s="7"/>
    </row>
    <row r="35" spans="1:8" ht="16" x14ac:dyDescent="0.2">
      <c r="A35" s="21">
        <v>3</v>
      </c>
      <c r="B35" s="7"/>
      <c r="C35" s="14" t="s">
        <v>51</v>
      </c>
      <c r="D35" s="7" t="s">
        <v>52</v>
      </c>
      <c r="E35" s="8">
        <v>0</v>
      </c>
      <c r="F35" s="8">
        <v>0</v>
      </c>
      <c r="G35" s="8">
        <f>E35*F35</f>
        <v>0</v>
      </c>
      <c r="H35" s="7"/>
    </row>
    <row r="36" spans="1:8" ht="24" x14ac:dyDescent="0.3">
      <c r="A36" s="23"/>
      <c r="B36" s="18" t="s">
        <v>53</v>
      </c>
      <c r="C36" s="19"/>
      <c r="D36" s="19"/>
      <c r="E36" s="19"/>
      <c r="F36" s="19"/>
      <c r="G36" s="6">
        <f>SUM(G3:G35)</f>
        <v>2593000</v>
      </c>
      <c r="H36" s="2"/>
    </row>
    <row r="46" spans="1:8" x14ac:dyDescent="0.2">
      <c r="D46" t="s">
        <v>65</v>
      </c>
    </row>
  </sheetData>
  <mergeCells count="10">
    <mergeCell ref="B36:F36"/>
    <mergeCell ref="A9:H9"/>
    <mergeCell ref="A2:H2"/>
    <mergeCell ref="A15:H15"/>
    <mergeCell ref="A22:H22"/>
    <mergeCell ref="A28:H28"/>
    <mergeCell ref="A32:H32"/>
    <mergeCell ref="C10:C11"/>
    <mergeCell ref="C20:C21"/>
    <mergeCell ref="C16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8E3B-265A-B94E-B0A3-1D2DD2B40AD4}">
  <dimension ref="A1:J36"/>
  <sheetViews>
    <sheetView topLeftCell="D13" zoomScale="150" workbookViewId="0">
      <selection activeCell="I36" sqref="I36"/>
    </sheetView>
  </sheetViews>
  <sheetFormatPr baseColWidth="10" defaultRowHeight="15" x14ac:dyDescent="0.2"/>
  <cols>
    <col min="1" max="1" width="4.1640625" bestFit="1" customWidth="1"/>
    <col min="2" max="2" width="9.33203125" bestFit="1" customWidth="1"/>
    <col min="3" max="3" width="27.33203125" style="4" bestFit="1" customWidth="1"/>
    <col min="4" max="4" width="49.6640625" bestFit="1" customWidth="1"/>
    <col min="8" max="8" width="29.6640625" customWidth="1"/>
    <col min="9" max="9" width="10.5" style="5" bestFit="1" customWidth="1"/>
    <col min="10" max="10" width="20.5" customWidth="1"/>
  </cols>
  <sheetData>
    <row r="1" spans="1:10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2" t="s">
        <v>89</v>
      </c>
      <c r="J1" s="52" t="s">
        <v>90</v>
      </c>
    </row>
    <row r="2" spans="1:10" ht="24" customHeight="1" x14ac:dyDescent="0.2">
      <c r="A2" s="15" t="s">
        <v>8</v>
      </c>
      <c r="B2" s="16"/>
      <c r="C2" s="16"/>
      <c r="D2" s="16"/>
      <c r="E2" s="16"/>
      <c r="F2" s="16"/>
      <c r="G2" s="16"/>
      <c r="H2" s="16"/>
      <c r="I2" s="16"/>
      <c r="J2" s="17"/>
    </row>
    <row r="3" spans="1:10" ht="16" x14ac:dyDescent="0.2">
      <c r="A3" s="21">
        <v>1</v>
      </c>
      <c r="B3" s="7"/>
      <c r="C3" s="14" t="s">
        <v>66</v>
      </c>
      <c r="D3" s="7" t="s">
        <v>10</v>
      </c>
      <c r="E3" s="8">
        <v>1</v>
      </c>
      <c r="F3" s="8">
        <v>0</v>
      </c>
      <c r="G3" s="8">
        <f>E3*F3</f>
        <v>0</v>
      </c>
      <c r="H3" s="7" t="s">
        <v>88</v>
      </c>
      <c r="I3" s="56" t="b">
        <v>1</v>
      </c>
      <c r="J3" s="3"/>
    </row>
    <row r="4" spans="1:10" ht="16" x14ac:dyDescent="0.2">
      <c r="A4" s="21">
        <v>2</v>
      </c>
      <c r="B4" s="7"/>
      <c r="C4" s="14" t="s">
        <v>11</v>
      </c>
      <c r="D4" s="7" t="s">
        <v>12</v>
      </c>
      <c r="E4" s="8">
        <v>1</v>
      </c>
      <c r="F4" s="8">
        <v>0</v>
      </c>
      <c r="G4" s="8">
        <f t="shared" ref="G4:G8" si="0">E4*F4</f>
        <v>0</v>
      </c>
      <c r="H4" s="7" t="s">
        <v>88</v>
      </c>
      <c r="I4" s="56" t="b">
        <v>1</v>
      </c>
      <c r="J4" s="3"/>
    </row>
    <row r="5" spans="1:10" ht="16" x14ac:dyDescent="0.2">
      <c r="A5" s="21">
        <v>3</v>
      </c>
      <c r="B5" s="7"/>
      <c r="C5" s="14" t="s">
        <v>13</v>
      </c>
      <c r="D5" s="7" t="s">
        <v>14</v>
      </c>
      <c r="E5" s="8">
        <v>1</v>
      </c>
      <c r="F5" s="8">
        <v>0</v>
      </c>
      <c r="G5" s="8">
        <f t="shared" si="0"/>
        <v>0</v>
      </c>
      <c r="H5" s="7" t="s">
        <v>88</v>
      </c>
      <c r="I5" s="56" t="b">
        <v>1</v>
      </c>
      <c r="J5" s="3"/>
    </row>
    <row r="6" spans="1:10" ht="16" x14ac:dyDescent="0.2">
      <c r="A6" s="21">
        <v>4</v>
      </c>
      <c r="B6" s="7"/>
      <c r="C6" s="14" t="s">
        <v>15</v>
      </c>
      <c r="D6" s="7" t="s">
        <v>16</v>
      </c>
      <c r="E6" s="8">
        <v>0</v>
      </c>
      <c r="F6" s="8">
        <v>0</v>
      </c>
      <c r="G6" s="8">
        <f t="shared" si="0"/>
        <v>0</v>
      </c>
      <c r="H6" s="7" t="s">
        <v>88</v>
      </c>
      <c r="I6" s="56" t="b">
        <v>1</v>
      </c>
      <c r="J6" s="3"/>
    </row>
    <row r="7" spans="1:10" ht="16" x14ac:dyDescent="0.2">
      <c r="A7" s="21">
        <v>5</v>
      </c>
      <c r="B7" s="7"/>
      <c r="C7" s="14" t="s">
        <v>17</v>
      </c>
      <c r="D7" s="7" t="s">
        <v>18</v>
      </c>
      <c r="E7" s="8">
        <v>0</v>
      </c>
      <c r="F7" s="8">
        <v>0</v>
      </c>
      <c r="G7" s="8">
        <f t="shared" si="0"/>
        <v>0</v>
      </c>
      <c r="H7" s="7" t="s">
        <v>88</v>
      </c>
      <c r="I7" s="56" t="b">
        <v>1</v>
      </c>
      <c r="J7" s="3"/>
    </row>
    <row r="8" spans="1:10" ht="16" x14ac:dyDescent="0.2">
      <c r="A8" s="21">
        <v>6</v>
      </c>
      <c r="B8" s="7"/>
      <c r="C8" s="14" t="s">
        <v>19</v>
      </c>
      <c r="D8" s="7" t="s">
        <v>20</v>
      </c>
      <c r="E8" s="8">
        <v>1</v>
      </c>
      <c r="F8" s="8">
        <v>350000</v>
      </c>
      <c r="G8" s="8">
        <f t="shared" si="0"/>
        <v>350000</v>
      </c>
      <c r="H8" s="7" t="s">
        <v>78</v>
      </c>
      <c r="I8" s="56" t="b">
        <v>1</v>
      </c>
      <c r="J8" s="3"/>
    </row>
    <row r="9" spans="1:10" ht="24" customHeight="1" x14ac:dyDescent="0.2">
      <c r="A9" s="15" t="s">
        <v>21</v>
      </c>
      <c r="B9" s="16"/>
      <c r="C9" s="16"/>
      <c r="D9" s="16"/>
      <c r="E9" s="16"/>
      <c r="F9" s="16"/>
      <c r="G9" s="16"/>
      <c r="H9" s="16"/>
      <c r="I9" s="16"/>
      <c r="J9" s="17"/>
    </row>
    <row r="10" spans="1:10" x14ac:dyDescent="0.2">
      <c r="A10" s="22">
        <v>1</v>
      </c>
      <c r="B10" s="9"/>
      <c r="C10" s="37" t="s">
        <v>22</v>
      </c>
      <c r="D10" s="10" t="s">
        <v>62</v>
      </c>
      <c r="E10" s="11">
        <v>1</v>
      </c>
      <c r="F10" s="12">
        <v>289000</v>
      </c>
      <c r="G10" s="8">
        <f t="shared" ref="G10:G14" si="1">E10*F10</f>
        <v>289000</v>
      </c>
      <c r="H10" s="10"/>
      <c r="I10" s="11" t="b">
        <v>1</v>
      </c>
      <c r="J10" s="3"/>
    </row>
    <row r="11" spans="1:10" ht="16" x14ac:dyDescent="0.2">
      <c r="A11" s="22">
        <v>2</v>
      </c>
      <c r="B11" s="7"/>
      <c r="C11" s="38"/>
      <c r="D11" s="7" t="s">
        <v>56</v>
      </c>
      <c r="E11" s="8">
        <v>1</v>
      </c>
      <c r="F11" s="8">
        <v>200000</v>
      </c>
      <c r="G11" s="8">
        <f>E11*F11</f>
        <v>200000</v>
      </c>
      <c r="H11" s="7"/>
      <c r="I11" s="56" t="b">
        <v>1</v>
      </c>
      <c r="J11" s="3"/>
    </row>
    <row r="12" spans="1:10" ht="16" x14ac:dyDescent="0.2">
      <c r="A12" s="22">
        <v>3</v>
      </c>
      <c r="B12" s="7"/>
      <c r="C12" s="14" t="s">
        <v>23</v>
      </c>
      <c r="D12" s="7" t="s">
        <v>58</v>
      </c>
      <c r="E12" s="8">
        <v>1</v>
      </c>
      <c r="F12" s="8">
        <v>300000</v>
      </c>
      <c r="G12" s="8">
        <f t="shared" si="1"/>
        <v>300000</v>
      </c>
      <c r="H12" s="7"/>
      <c r="I12" s="56" t="b">
        <v>1</v>
      </c>
      <c r="J12" s="3"/>
    </row>
    <row r="13" spans="1:10" ht="16" x14ac:dyDescent="0.2">
      <c r="A13" s="22">
        <v>4</v>
      </c>
      <c r="B13" s="7"/>
      <c r="C13" s="14" t="s">
        <v>24</v>
      </c>
      <c r="D13" s="7" t="s">
        <v>25</v>
      </c>
      <c r="E13" s="8">
        <v>0</v>
      </c>
      <c r="F13" s="8">
        <v>0</v>
      </c>
      <c r="G13" s="8">
        <f t="shared" si="1"/>
        <v>0</v>
      </c>
      <c r="H13" s="7"/>
      <c r="I13" s="56" t="b">
        <v>1</v>
      </c>
      <c r="J13" s="3"/>
    </row>
    <row r="14" spans="1:10" ht="16" x14ac:dyDescent="0.2">
      <c r="A14" s="22">
        <v>5</v>
      </c>
      <c r="B14" s="7"/>
      <c r="C14" s="14" t="s">
        <v>26</v>
      </c>
      <c r="D14" s="7" t="s">
        <v>64</v>
      </c>
      <c r="E14" s="8">
        <v>0</v>
      </c>
      <c r="F14" s="8">
        <v>0</v>
      </c>
      <c r="G14" s="8">
        <f t="shared" si="1"/>
        <v>0</v>
      </c>
      <c r="H14" s="7"/>
      <c r="I14" s="56" t="b">
        <v>1</v>
      </c>
      <c r="J14" s="3"/>
    </row>
    <row r="15" spans="1:10" ht="24" customHeight="1" x14ac:dyDescent="0.2">
      <c r="A15" s="15" t="s">
        <v>27</v>
      </c>
      <c r="B15" s="16"/>
      <c r="C15" s="16"/>
      <c r="D15" s="16"/>
      <c r="E15" s="16"/>
      <c r="F15" s="16"/>
      <c r="G15" s="16"/>
      <c r="H15" s="16"/>
      <c r="I15" s="16"/>
      <c r="J15" s="17"/>
    </row>
    <row r="16" spans="1:10" ht="15" customHeight="1" x14ac:dyDescent="0.2">
      <c r="A16" s="27">
        <v>1</v>
      </c>
      <c r="B16" s="28"/>
      <c r="C16" s="39" t="s">
        <v>28</v>
      </c>
      <c r="D16" s="30" t="s">
        <v>54</v>
      </c>
      <c r="E16" s="31">
        <v>1</v>
      </c>
      <c r="F16" s="32">
        <v>499000</v>
      </c>
      <c r="G16" s="33">
        <f t="shared" ref="G16:G21" si="2">E16*F16</f>
        <v>499000</v>
      </c>
      <c r="H16" s="30" t="s">
        <v>79</v>
      </c>
      <c r="I16" s="31" t="b">
        <v>1</v>
      </c>
      <c r="J16" s="3"/>
    </row>
    <row r="17" spans="1:10" ht="16" x14ac:dyDescent="0.2">
      <c r="A17" s="27">
        <v>2</v>
      </c>
      <c r="B17" s="28"/>
      <c r="C17" s="40"/>
      <c r="D17" s="30" t="s">
        <v>57</v>
      </c>
      <c r="E17" s="31">
        <v>1</v>
      </c>
      <c r="F17" s="31">
        <v>0</v>
      </c>
      <c r="G17" s="33">
        <f t="shared" si="2"/>
        <v>0</v>
      </c>
      <c r="H17" s="7" t="s">
        <v>80</v>
      </c>
      <c r="I17" s="56" t="b">
        <v>1</v>
      </c>
      <c r="J17" s="3"/>
    </row>
    <row r="18" spans="1:10" ht="16" x14ac:dyDescent="0.2">
      <c r="A18" s="27">
        <v>3</v>
      </c>
      <c r="B18" s="28"/>
      <c r="C18" s="40"/>
      <c r="D18" s="30" t="s">
        <v>61</v>
      </c>
      <c r="E18" s="31">
        <v>1</v>
      </c>
      <c r="F18" s="32">
        <v>0</v>
      </c>
      <c r="G18" s="33">
        <f t="shared" si="2"/>
        <v>0</v>
      </c>
      <c r="H18" s="7" t="s">
        <v>82</v>
      </c>
      <c r="I18" s="56" t="b">
        <v>1</v>
      </c>
      <c r="J18" s="3"/>
    </row>
    <row r="19" spans="1:10" ht="16" x14ac:dyDescent="0.2">
      <c r="A19" s="27">
        <v>4</v>
      </c>
      <c r="B19" s="35"/>
      <c r="C19" s="41"/>
      <c r="D19" s="35" t="s">
        <v>55</v>
      </c>
      <c r="E19" s="33">
        <v>1</v>
      </c>
      <c r="F19" s="33">
        <v>599000</v>
      </c>
      <c r="G19" s="33">
        <f t="shared" si="2"/>
        <v>599000</v>
      </c>
      <c r="H19" s="7" t="s">
        <v>81</v>
      </c>
      <c r="I19" s="56" t="b">
        <v>1</v>
      </c>
      <c r="J19" s="3"/>
    </row>
    <row r="20" spans="1:10" ht="15" customHeight="1" x14ac:dyDescent="0.2">
      <c r="A20" s="22">
        <v>5</v>
      </c>
      <c r="B20" s="9"/>
      <c r="C20" s="37" t="s">
        <v>63</v>
      </c>
      <c r="D20" s="10" t="s">
        <v>59</v>
      </c>
      <c r="E20" s="11">
        <v>1</v>
      </c>
      <c r="F20" s="12">
        <v>0</v>
      </c>
      <c r="G20" s="8">
        <f t="shared" si="2"/>
        <v>0</v>
      </c>
      <c r="H20" s="10"/>
      <c r="I20" s="11" t="b">
        <v>1</v>
      </c>
      <c r="J20" s="3"/>
    </row>
    <row r="21" spans="1:10" x14ac:dyDescent="0.2">
      <c r="A21" s="22">
        <v>6</v>
      </c>
      <c r="B21" s="9"/>
      <c r="C21" s="38"/>
      <c r="D21" s="10" t="s">
        <v>60</v>
      </c>
      <c r="E21" s="11">
        <v>1</v>
      </c>
      <c r="F21" s="12">
        <v>0</v>
      </c>
      <c r="G21" s="8">
        <f t="shared" si="2"/>
        <v>0</v>
      </c>
      <c r="H21" s="10"/>
      <c r="I21" s="11" t="b">
        <v>1</v>
      </c>
      <c r="J21" s="3"/>
    </row>
    <row r="22" spans="1:10" ht="24" customHeight="1" x14ac:dyDescent="0.2">
      <c r="A22" s="15" t="s">
        <v>29</v>
      </c>
      <c r="B22" s="16"/>
      <c r="C22" s="16"/>
      <c r="D22" s="16"/>
      <c r="E22" s="16"/>
      <c r="F22" s="16"/>
      <c r="G22" s="16"/>
      <c r="H22" s="16"/>
      <c r="I22" s="16"/>
      <c r="J22" s="17"/>
    </row>
    <row r="23" spans="1:10" ht="16" x14ac:dyDescent="0.2">
      <c r="A23" s="21">
        <v>1</v>
      </c>
      <c r="B23" s="7"/>
      <c r="C23" s="14" t="s">
        <v>30</v>
      </c>
      <c r="D23" s="7" t="s">
        <v>31</v>
      </c>
      <c r="E23" s="8">
        <v>0</v>
      </c>
      <c r="F23" s="8">
        <v>0</v>
      </c>
      <c r="G23" s="8">
        <f>E23*F23</f>
        <v>0</v>
      </c>
      <c r="H23" s="7" t="s">
        <v>83</v>
      </c>
      <c r="I23" s="56" t="b">
        <v>1</v>
      </c>
      <c r="J23" s="3"/>
    </row>
    <row r="24" spans="1:10" ht="16" x14ac:dyDescent="0.2">
      <c r="A24" s="21">
        <v>2</v>
      </c>
      <c r="B24" s="7"/>
      <c r="C24" s="14" t="s">
        <v>32</v>
      </c>
      <c r="D24" s="7" t="s">
        <v>33</v>
      </c>
      <c r="E24" s="8">
        <v>0</v>
      </c>
      <c r="F24" s="8">
        <v>0</v>
      </c>
      <c r="G24" s="8">
        <f t="shared" ref="G24:G27" si="3">E24*F24</f>
        <v>0</v>
      </c>
      <c r="H24" s="7" t="s">
        <v>83</v>
      </c>
      <c r="I24" s="56" t="b">
        <v>1</v>
      </c>
      <c r="J24" s="3"/>
    </row>
    <row r="25" spans="1:10" ht="16" x14ac:dyDescent="0.2">
      <c r="A25" s="21">
        <v>3</v>
      </c>
      <c r="B25" s="7"/>
      <c r="C25" s="14" t="s">
        <v>34</v>
      </c>
      <c r="D25" s="7" t="s">
        <v>35</v>
      </c>
      <c r="E25" s="8">
        <v>0</v>
      </c>
      <c r="F25" s="8">
        <v>0</v>
      </c>
      <c r="G25" s="8">
        <f t="shared" si="3"/>
        <v>0</v>
      </c>
      <c r="H25" s="7" t="s">
        <v>83</v>
      </c>
      <c r="I25" s="56" t="b">
        <v>1</v>
      </c>
      <c r="J25" s="3"/>
    </row>
    <row r="26" spans="1:10" ht="16" x14ac:dyDescent="0.2">
      <c r="A26" s="21">
        <v>4</v>
      </c>
      <c r="B26" s="7"/>
      <c r="C26" s="14" t="s">
        <v>36</v>
      </c>
      <c r="D26" s="7" t="s">
        <v>58</v>
      </c>
      <c r="E26" s="8">
        <v>1</v>
      </c>
      <c r="F26" s="13">
        <v>256000</v>
      </c>
      <c r="G26" s="8">
        <f t="shared" si="3"/>
        <v>256000</v>
      </c>
      <c r="H26" s="7"/>
      <c r="I26" s="56" t="b">
        <v>1</v>
      </c>
      <c r="J26" s="3"/>
    </row>
    <row r="27" spans="1:10" ht="16" x14ac:dyDescent="0.2">
      <c r="A27" s="21">
        <v>5</v>
      </c>
      <c r="B27" s="7"/>
      <c r="C27" s="14" t="s">
        <v>37</v>
      </c>
      <c r="D27" s="7" t="s">
        <v>38</v>
      </c>
      <c r="E27" s="8">
        <v>0</v>
      </c>
      <c r="F27" s="8">
        <v>0</v>
      </c>
      <c r="G27" s="8">
        <f t="shared" si="3"/>
        <v>0</v>
      </c>
      <c r="H27" s="7" t="s">
        <v>83</v>
      </c>
      <c r="I27" s="56" t="b">
        <v>1</v>
      </c>
      <c r="J27" s="3"/>
    </row>
    <row r="28" spans="1:10" ht="24" customHeight="1" x14ac:dyDescent="0.2">
      <c r="A28" s="15" t="s">
        <v>39</v>
      </c>
      <c r="B28" s="16"/>
      <c r="C28" s="16"/>
      <c r="D28" s="16"/>
      <c r="E28" s="16"/>
      <c r="F28" s="16"/>
      <c r="G28" s="16"/>
      <c r="H28" s="16"/>
      <c r="I28" s="16"/>
      <c r="J28" s="17"/>
    </row>
    <row r="29" spans="1:10" ht="16" x14ac:dyDescent="0.2">
      <c r="A29" s="21">
        <v>1</v>
      </c>
      <c r="B29" s="7"/>
      <c r="C29" s="14" t="s">
        <v>40</v>
      </c>
      <c r="D29" s="7" t="s">
        <v>41</v>
      </c>
      <c r="E29" s="8">
        <v>0</v>
      </c>
      <c r="F29" s="8">
        <v>0</v>
      </c>
      <c r="G29" s="8">
        <f>E29*F29</f>
        <v>0</v>
      </c>
      <c r="H29" s="7"/>
      <c r="I29" s="56" t="b">
        <v>1</v>
      </c>
      <c r="J29" s="3"/>
    </row>
    <row r="30" spans="1:10" ht="16" x14ac:dyDescent="0.2">
      <c r="A30" s="21">
        <v>2</v>
      </c>
      <c r="B30" s="7"/>
      <c r="C30" s="14" t="s">
        <v>42</v>
      </c>
      <c r="D30" s="7" t="s">
        <v>43</v>
      </c>
      <c r="E30" s="8">
        <v>0</v>
      </c>
      <c r="F30" s="8">
        <v>0</v>
      </c>
      <c r="G30" s="8">
        <f>E30*F30</f>
        <v>0</v>
      </c>
      <c r="H30" s="7"/>
      <c r="I30" s="56" t="b">
        <v>1</v>
      </c>
      <c r="J30" s="3"/>
    </row>
    <row r="31" spans="1:10" ht="16" x14ac:dyDescent="0.2">
      <c r="A31" s="21">
        <v>3</v>
      </c>
      <c r="B31" s="7"/>
      <c r="C31" s="14" t="s">
        <v>44</v>
      </c>
      <c r="D31" s="7" t="s">
        <v>45</v>
      </c>
      <c r="E31" s="8">
        <v>0</v>
      </c>
      <c r="F31" s="8">
        <v>0</v>
      </c>
      <c r="G31" s="8">
        <f>E31*F31</f>
        <v>0</v>
      </c>
      <c r="H31" s="7"/>
      <c r="I31" s="56" t="b">
        <v>1</v>
      </c>
      <c r="J31" s="3"/>
    </row>
    <row r="32" spans="1:10" ht="24" customHeight="1" x14ac:dyDescent="0.2">
      <c r="A32" s="15" t="s">
        <v>46</v>
      </c>
      <c r="B32" s="16"/>
      <c r="C32" s="16"/>
      <c r="D32" s="16"/>
      <c r="E32" s="16"/>
      <c r="F32" s="16"/>
      <c r="G32" s="16"/>
      <c r="H32" s="16"/>
      <c r="I32" s="16"/>
      <c r="J32" s="17"/>
    </row>
    <row r="33" spans="1:10" ht="16" x14ac:dyDescent="0.2">
      <c r="A33" s="21">
        <v>1</v>
      </c>
      <c r="B33" s="7"/>
      <c r="C33" s="14" t="s">
        <v>47</v>
      </c>
      <c r="D33" s="7" t="s">
        <v>48</v>
      </c>
      <c r="E33" s="8">
        <v>0</v>
      </c>
      <c r="F33" s="8">
        <v>0</v>
      </c>
      <c r="G33" s="8">
        <f>E33*F33</f>
        <v>0</v>
      </c>
      <c r="H33" s="7"/>
      <c r="I33" s="56" t="b">
        <v>1</v>
      </c>
      <c r="J33" s="3"/>
    </row>
    <row r="34" spans="1:10" ht="16" x14ac:dyDescent="0.2">
      <c r="A34" s="21">
        <v>2</v>
      </c>
      <c r="B34" s="7"/>
      <c r="C34" s="14" t="s">
        <v>49</v>
      </c>
      <c r="D34" s="7" t="s">
        <v>50</v>
      </c>
      <c r="E34" s="8">
        <v>0</v>
      </c>
      <c r="F34" s="8">
        <v>0</v>
      </c>
      <c r="G34" s="8">
        <f>E34*F34</f>
        <v>0</v>
      </c>
      <c r="H34" s="7"/>
      <c r="I34" s="56" t="b">
        <v>1</v>
      </c>
      <c r="J34" s="3"/>
    </row>
    <row r="35" spans="1:10" ht="16" x14ac:dyDescent="0.2">
      <c r="A35" s="21">
        <v>3</v>
      </c>
      <c r="B35" s="7"/>
      <c r="C35" s="14" t="s">
        <v>51</v>
      </c>
      <c r="D35" s="7" t="s">
        <v>52</v>
      </c>
      <c r="E35" s="8">
        <v>0</v>
      </c>
      <c r="F35" s="8">
        <v>0</v>
      </c>
      <c r="G35" s="8">
        <f>E35*F35</f>
        <v>0</v>
      </c>
      <c r="H35" s="7"/>
      <c r="I35" s="56" t="b">
        <v>1</v>
      </c>
      <c r="J35" s="3"/>
    </row>
    <row r="36" spans="1:10" ht="24" customHeight="1" x14ac:dyDescent="0.2">
      <c r="A36" s="23"/>
      <c r="B36" s="53" t="s">
        <v>53</v>
      </c>
      <c r="C36" s="54"/>
      <c r="D36" s="54"/>
      <c r="E36" s="54"/>
      <c r="F36" s="55"/>
      <c r="G36" s="57">
        <f>SUMIF(I3:I35, TRUE,G3:G35)</f>
        <v>2493000</v>
      </c>
      <c r="H36" s="2" t="s">
        <v>84</v>
      </c>
      <c r="I36" s="66">
        <f>SUMIF(I3:I35, TRUE,G3:G35)</f>
        <v>2493000</v>
      </c>
      <c r="J36" s="23"/>
    </row>
  </sheetData>
  <mergeCells count="10">
    <mergeCell ref="B36:F36"/>
    <mergeCell ref="A2:J2"/>
    <mergeCell ref="A9:J9"/>
    <mergeCell ref="A15:J15"/>
    <mergeCell ref="A22:J22"/>
    <mergeCell ref="A28:J28"/>
    <mergeCell ref="A32:J32"/>
    <mergeCell ref="C10:C11"/>
    <mergeCell ref="C16:C19"/>
    <mergeCell ref="C20:C2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6" r:id="rId3" name="Check Box 30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25</xdr:row>
                    <xdr:rowOff>12700</xdr:rowOff>
                  </from>
                  <to>
                    <xdr:col>9</xdr:col>
                    <xdr:colOff>1384300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4" name="Check Box 31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26</xdr:row>
                    <xdr:rowOff>12700</xdr:rowOff>
                  </from>
                  <to>
                    <xdr:col>9</xdr:col>
                    <xdr:colOff>1384300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5" name="Check Box 32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28</xdr:row>
                    <xdr:rowOff>12700</xdr:rowOff>
                  </from>
                  <to>
                    <xdr:col>9</xdr:col>
                    <xdr:colOff>1384300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6" name="Check Box 33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29</xdr:row>
                    <xdr:rowOff>12700</xdr:rowOff>
                  </from>
                  <to>
                    <xdr:col>9</xdr:col>
                    <xdr:colOff>1384300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1" r:id="rId7" name="Check Box 35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30</xdr:row>
                    <xdr:rowOff>12700</xdr:rowOff>
                  </from>
                  <to>
                    <xdr:col>9</xdr:col>
                    <xdr:colOff>1384300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3" r:id="rId8" name="Check Box 37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32</xdr:row>
                    <xdr:rowOff>12700</xdr:rowOff>
                  </from>
                  <to>
                    <xdr:col>9</xdr:col>
                    <xdr:colOff>1384300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4" r:id="rId9" name="Check Box 38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33</xdr:row>
                    <xdr:rowOff>12700</xdr:rowOff>
                  </from>
                  <to>
                    <xdr:col>9</xdr:col>
                    <xdr:colOff>1384300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10" name="Check Box 39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34</xdr:row>
                    <xdr:rowOff>12700</xdr:rowOff>
                  </from>
                  <to>
                    <xdr:col>9</xdr:col>
                    <xdr:colOff>1384300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11" name="Check Box 40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24</xdr:row>
                    <xdr:rowOff>12700</xdr:rowOff>
                  </from>
                  <to>
                    <xdr:col>9</xdr:col>
                    <xdr:colOff>1384300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7" r:id="rId12" name="Check Box 41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23</xdr:row>
                    <xdr:rowOff>12700</xdr:rowOff>
                  </from>
                  <to>
                    <xdr:col>9</xdr:col>
                    <xdr:colOff>1384300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8" r:id="rId13" name="Check Box 42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22</xdr:row>
                    <xdr:rowOff>12700</xdr:rowOff>
                  </from>
                  <to>
                    <xdr:col>9</xdr:col>
                    <xdr:colOff>1384300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9" r:id="rId14" name="Check Box 43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15</xdr:row>
                    <xdr:rowOff>12700</xdr:rowOff>
                  </from>
                  <to>
                    <xdr:col>9</xdr:col>
                    <xdr:colOff>1384300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0" r:id="rId15" name="Check Box 44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16</xdr:row>
                    <xdr:rowOff>12700</xdr:rowOff>
                  </from>
                  <to>
                    <xdr:col>9</xdr:col>
                    <xdr:colOff>1384300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1" r:id="rId16" name="Check Box 45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17</xdr:row>
                    <xdr:rowOff>12700</xdr:rowOff>
                  </from>
                  <to>
                    <xdr:col>9</xdr:col>
                    <xdr:colOff>1384300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2" r:id="rId17" name="Check Box 46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18</xdr:row>
                    <xdr:rowOff>12700</xdr:rowOff>
                  </from>
                  <to>
                    <xdr:col>9</xdr:col>
                    <xdr:colOff>1384300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3" r:id="rId18" name="Check Box 47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19</xdr:row>
                    <xdr:rowOff>12700</xdr:rowOff>
                  </from>
                  <to>
                    <xdr:col>9</xdr:col>
                    <xdr:colOff>1384300</xdr:colOff>
                    <xdr:row>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4" r:id="rId19" name="Check Box 48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20</xdr:row>
                    <xdr:rowOff>12700</xdr:rowOff>
                  </from>
                  <to>
                    <xdr:col>9</xdr:col>
                    <xdr:colOff>1384300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5" r:id="rId20" name="Check Box 49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13</xdr:row>
                    <xdr:rowOff>12700</xdr:rowOff>
                  </from>
                  <to>
                    <xdr:col>9</xdr:col>
                    <xdr:colOff>1384300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6" r:id="rId21" name="Check Box 50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12</xdr:row>
                    <xdr:rowOff>12700</xdr:rowOff>
                  </from>
                  <to>
                    <xdr:col>9</xdr:col>
                    <xdr:colOff>1384300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7" r:id="rId22" name="Check Box 51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11</xdr:row>
                    <xdr:rowOff>12700</xdr:rowOff>
                  </from>
                  <to>
                    <xdr:col>9</xdr:col>
                    <xdr:colOff>1384300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8" r:id="rId23" name="Check Box 52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10</xdr:row>
                    <xdr:rowOff>12700</xdr:rowOff>
                  </from>
                  <to>
                    <xdr:col>9</xdr:col>
                    <xdr:colOff>1384300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9" r:id="rId24" name="Check Box 53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9</xdr:row>
                    <xdr:rowOff>12700</xdr:rowOff>
                  </from>
                  <to>
                    <xdr:col>9</xdr:col>
                    <xdr:colOff>1384300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25" name="Check Box 54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7</xdr:row>
                    <xdr:rowOff>12700</xdr:rowOff>
                  </from>
                  <to>
                    <xdr:col>9</xdr:col>
                    <xdr:colOff>1384300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1" r:id="rId26" name="Check Box 55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6</xdr:row>
                    <xdr:rowOff>12700</xdr:rowOff>
                  </from>
                  <to>
                    <xdr:col>9</xdr:col>
                    <xdr:colOff>1384300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2" r:id="rId27" name="Check Box 56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5</xdr:row>
                    <xdr:rowOff>12700</xdr:rowOff>
                  </from>
                  <to>
                    <xdr:col>9</xdr:col>
                    <xdr:colOff>1384300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3" r:id="rId28" name="Check Box 57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4</xdr:row>
                    <xdr:rowOff>12700</xdr:rowOff>
                  </from>
                  <to>
                    <xdr:col>9</xdr:col>
                    <xdr:colOff>1384300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4" r:id="rId29" name="Check Box 58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3</xdr:row>
                    <xdr:rowOff>12700</xdr:rowOff>
                  </from>
                  <to>
                    <xdr:col>9</xdr:col>
                    <xdr:colOff>1384300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6" r:id="rId30" name="Check Box 60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</xdr:row>
                    <xdr:rowOff>12700</xdr:rowOff>
                  </from>
                  <to>
                    <xdr:col>9</xdr:col>
                    <xdr:colOff>1384300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3583B-B05B-A243-AAB6-30F0F063AACE}">
  <dimension ref="A1:J40"/>
  <sheetViews>
    <sheetView topLeftCell="C11" zoomScale="133" workbookViewId="0">
      <selection activeCell="G41" sqref="G41"/>
    </sheetView>
  </sheetViews>
  <sheetFormatPr baseColWidth="10" defaultRowHeight="15" x14ac:dyDescent="0.2"/>
  <cols>
    <col min="3" max="3" width="26.83203125" bestFit="1" customWidth="1"/>
    <col min="4" max="4" width="49.83203125" customWidth="1"/>
    <col min="8" max="8" width="24.5" bestFit="1" customWidth="1"/>
    <col min="10" max="10" width="22.83203125" customWidth="1"/>
  </cols>
  <sheetData>
    <row r="1" spans="1:10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89</v>
      </c>
      <c r="J1" s="1" t="s">
        <v>90</v>
      </c>
    </row>
    <row r="2" spans="1:10" ht="24" customHeight="1" x14ac:dyDescent="0.2">
      <c r="A2" s="60" t="s">
        <v>8</v>
      </c>
      <c r="B2" s="60"/>
      <c r="C2" s="60"/>
      <c r="D2" s="60"/>
      <c r="E2" s="60"/>
      <c r="F2" s="60"/>
      <c r="G2" s="60"/>
      <c r="H2" s="60"/>
      <c r="I2" s="60"/>
      <c r="J2" s="60"/>
    </row>
    <row r="3" spans="1:10" ht="16" x14ac:dyDescent="0.2">
      <c r="A3" s="21">
        <v>1</v>
      </c>
      <c r="B3" s="7"/>
      <c r="C3" s="14" t="s">
        <v>66</v>
      </c>
      <c r="D3" s="7" t="s">
        <v>10</v>
      </c>
      <c r="E3" s="8">
        <v>1</v>
      </c>
      <c r="F3" s="8">
        <v>526558.28</v>
      </c>
      <c r="G3" s="8">
        <f>E3*F3</f>
        <v>526558.28</v>
      </c>
      <c r="H3" s="7" t="s">
        <v>76</v>
      </c>
      <c r="I3" s="56" t="b">
        <v>0</v>
      </c>
      <c r="J3" s="3"/>
    </row>
    <row r="4" spans="1:10" ht="16" x14ac:dyDescent="0.2">
      <c r="A4" s="21">
        <v>2</v>
      </c>
      <c r="B4" s="7"/>
      <c r="C4" s="14" t="s">
        <v>11</v>
      </c>
      <c r="D4" s="7" t="s">
        <v>12</v>
      </c>
      <c r="E4" s="8">
        <v>1</v>
      </c>
      <c r="F4" s="8">
        <v>526558.28</v>
      </c>
      <c r="G4" s="8">
        <f t="shared" ref="G4:G8" si="0">E4*F4</f>
        <v>526558.28</v>
      </c>
      <c r="H4" s="7" t="s">
        <v>76</v>
      </c>
      <c r="I4" s="56" t="b">
        <v>0</v>
      </c>
      <c r="J4" s="3"/>
    </row>
    <row r="5" spans="1:10" ht="16" x14ac:dyDescent="0.2">
      <c r="A5" s="21">
        <v>3</v>
      </c>
      <c r="B5" s="7"/>
      <c r="C5" s="14" t="s">
        <v>13</v>
      </c>
      <c r="D5" s="7" t="s">
        <v>14</v>
      </c>
      <c r="E5" s="8">
        <v>1</v>
      </c>
      <c r="F5" s="8">
        <v>1184756.1399999999</v>
      </c>
      <c r="G5" s="8">
        <f t="shared" si="0"/>
        <v>1184756.1399999999</v>
      </c>
      <c r="H5" s="7" t="s">
        <v>77</v>
      </c>
      <c r="I5" s="56" t="b">
        <v>0</v>
      </c>
      <c r="J5" s="3"/>
    </row>
    <row r="6" spans="1:10" ht="16" x14ac:dyDescent="0.2">
      <c r="A6" s="21">
        <v>4</v>
      </c>
      <c r="B6" s="7"/>
      <c r="C6" s="14" t="s">
        <v>15</v>
      </c>
      <c r="D6" s="7" t="s">
        <v>16</v>
      </c>
      <c r="E6" s="8">
        <v>0</v>
      </c>
      <c r="F6" s="8">
        <v>0</v>
      </c>
      <c r="G6" s="8">
        <f t="shared" si="0"/>
        <v>0</v>
      </c>
      <c r="H6" s="7"/>
      <c r="I6" s="56" t="b">
        <v>1</v>
      </c>
      <c r="J6" s="3"/>
    </row>
    <row r="7" spans="1:10" ht="16" x14ac:dyDescent="0.2">
      <c r="A7" s="21">
        <v>5</v>
      </c>
      <c r="B7" s="7"/>
      <c r="C7" s="14" t="s">
        <v>17</v>
      </c>
      <c r="D7" s="7" t="s">
        <v>18</v>
      </c>
      <c r="E7" s="8">
        <v>0</v>
      </c>
      <c r="F7" s="8">
        <v>0</v>
      </c>
      <c r="G7" s="8">
        <f t="shared" si="0"/>
        <v>0</v>
      </c>
      <c r="H7" s="7"/>
      <c r="I7" s="56" t="b">
        <v>1</v>
      </c>
      <c r="J7" s="3"/>
    </row>
    <row r="8" spans="1:10" ht="16" x14ac:dyDescent="0.2">
      <c r="A8" s="21">
        <v>6</v>
      </c>
      <c r="B8" s="7"/>
      <c r="C8" s="14" t="s">
        <v>19</v>
      </c>
      <c r="D8" s="7" t="s">
        <v>20</v>
      </c>
      <c r="E8" s="8">
        <v>1</v>
      </c>
      <c r="F8" s="8">
        <v>0</v>
      </c>
      <c r="G8" s="8">
        <f t="shared" si="0"/>
        <v>0</v>
      </c>
      <c r="H8" s="7" t="s">
        <v>78</v>
      </c>
      <c r="I8" s="56" t="b">
        <v>1</v>
      </c>
      <c r="J8" s="3"/>
    </row>
    <row r="9" spans="1:10" ht="24" customHeight="1" x14ac:dyDescent="0.2">
      <c r="A9" s="60" t="s">
        <v>21</v>
      </c>
      <c r="B9" s="60"/>
      <c r="C9" s="60"/>
      <c r="D9" s="60"/>
      <c r="E9" s="60"/>
      <c r="F9" s="60"/>
      <c r="G9" s="60"/>
      <c r="H9" s="60"/>
      <c r="I9" s="60"/>
      <c r="J9" s="60"/>
    </row>
    <row r="10" spans="1:10" x14ac:dyDescent="0.2">
      <c r="A10" s="22">
        <v>1</v>
      </c>
      <c r="B10" s="9"/>
      <c r="C10" s="61" t="s">
        <v>22</v>
      </c>
      <c r="D10" s="10" t="s">
        <v>62</v>
      </c>
      <c r="E10" s="11">
        <v>1</v>
      </c>
      <c r="F10" s="12">
        <v>289000</v>
      </c>
      <c r="G10" s="8">
        <f t="shared" ref="G10:G14" si="1">E10*F10</f>
        <v>289000</v>
      </c>
      <c r="H10" s="10"/>
      <c r="I10" s="11" t="b">
        <v>0</v>
      </c>
      <c r="J10" s="3"/>
    </row>
    <row r="11" spans="1:10" ht="16" x14ac:dyDescent="0.2">
      <c r="A11" s="22">
        <v>2</v>
      </c>
      <c r="B11" s="7"/>
      <c r="C11" s="61"/>
      <c r="D11" s="7" t="s">
        <v>56</v>
      </c>
      <c r="E11" s="8">
        <v>1</v>
      </c>
      <c r="F11" s="8">
        <v>200000</v>
      </c>
      <c r="G11" s="8">
        <f>E11*F11</f>
        <v>200000</v>
      </c>
      <c r="H11" s="7"/>
      <c r="I11" s="56" t="b">
        <v>0</v>
      </c>
      <c r="J11" s="3"/>
    </row>
    <row r="12" spans="1:10" ht="16" x14ac:dyDescent="0.2">
      <c r="A12" s="22">
        <v>3</v>
      </c>
      <c r="B12" s="7"/>
      <c r="C12" s="14" t="s">
        <v>23</v>
      </c>
      <c r="D12" s="7" t="s">
        <v>58</v>
      </c>
      <c r="E12" s="8">
        <v>1</v>
      </c>
      <c r="F12" s="8">
        <v>300000</v>
      </c>
      <c r="G12" s="8">
        <f t="shared" si="1"/>
        <v>300000</v>
      </c>
      <c r="H12" s="7"/>
      <c r="I12" s="56" t="b">
        <v>0</v>
      </c>
      <c r="J12" s="3"/>
    </row>
    <row r="13" spans="1:10" ht="16" x14ac:dyDescent="0.2">
      <c r="A13" s="22">
        <v>4</v>
      </c>
      <c r="B13" s="7"/>
      <c r="C13" s="14" t="s">
        <v>24</v>
      </c>
      <c r="D13" s="7" t="s">
        <v>25</v>
      </c>
      <c r="E13" s="8">
        <v>0</v>
      </c>
      <c r="F13" s="8">
        <v>0</v>
      </c>
      <c r="G13" s="8">
        <f t="shared" si="1"/>
        <v>0</v>
      </c>
      <c r="H13" s="7"/>
      <c r="I13" s="56" t="b">
        <v>1</v>
      </c>
      <c r="J13" s="3"/>
    </row>
    <row r="14" spans="1:10" ht="16" x14ac:dyDescent="0.2">
      <c r="A14" s="22">
        <v>5</v>
      </c>
      <c r="B14" s="7"/>
      <c r="C14" s="14" t="s">
        <v>26</v>
      </c>
      <c r="D14" s="7" t="s">
        <v>64</v>
      </c>
      <c r="E14" s="8">
        <v>0</v>
      </c>
      <c r="F14" s="8">
        <v>0</v>
      </c>
      <c r="G14" s="8">
        <f t="shared" si="1"/>
        <v>0</v>
      </c>
      <c r="H14" s="7"/>
      <c r="I14" s="56" t="b">
        <v>1</v>
      </c>
      <c r="J14" s="3"/>
    </row>
    <row r="15" spans="1:10" ht="24" customHeight="1" x14ac:dyDescent="0.2">
      <c r="A15" s="60" t="s">
        <v>27</v>
      </c>
      <c r="B15" s="60"/>
      <c r="C15" s="60"/>
      <c r="D15" s="60"/>
      <c r="E15" s="60"/>
      <c r="F15" s="60"/>
      <c r="G15" s="60"/>
      <c r="H15" s="60"/>
      <c r="I15" s="60"/>
      <c r="J15" s="60"/>
    </row>
    <row r="16" spans="1:10" x14ac:dyDescent="0.2">
      <c r="A16" s="27">
        <v>1</v>
      </c>
      <c r="B16" s="28"/>
      <c r="C16" s="62" t="s">
        <v>28</v>
      </c>
      <c r="D16" s="30" t="s">
        <v>54</v>
      </c>
      <c r="E16" s="31">
        <v>1</v>
      </c>
      <c r="F16" s="32">
        <v>499000</v>
      </c>
      <c r="G16" s="33">
        <f t="shared" ref="G16:G21" si="2">E16*F16</f>
        <v>499000</v>
      </c>
      <c r="H16" s="30" t="s">
        <v>79</v>
      </c>
      <c r="I16" s="31" t="b">
        <v>0</v>
      </c>
      <c r="J16" s="3"/>
    </row>
    <row r="17" spans="1:10" ht="16" x14ac:dyDescent="0.2">
      <c r="A17" s="27">
        <v>2</v>
      </c>
      <c r="B17" s="28"/>
      <c r="C17" s="62"/>
      <c r="D17" s="30" t="s">
        <v>57</v>
      </c>
      <c r="E17" s="31">
        <v>1</v>
      </c>
      <c r="F17" s="31">
        <v>0</v>
      </c>
      <c r="G17" s="33">
        <f t="shared" si="2"/>
        <v>0</v>
      </c>
      <c r="H17" s="7" t="s">
        <v>80</v>
      </c>
      <c r="I17" s="56" t="b">
        <v>1</v>
      </c>
      <c r="J17" s="3"/>
    </row>
    <row r="18" spans="1:10" x14ac:dyDescent="0.2">
      <c r="A18" s="27">
        <v>3</v>
      </c>
      <c r="B18" s="28"/>
      <c r="C18" s="62"/>
      <c r="D18" s="30" t="s">
        <v>61</v>
      </c>
      <c r="E18" s="31">
        <v>1</v>
      </c>
      <c r="F18" s="32">
        <v>0</v>
      </c>
      <c r="G18" s="33">
        <f t="shared" si="2"/>
        <v>0</v>
      </c>
      <c r="H18" s="7"/>
      <c r="I18" s="56" t="b">
        <v>1</v>
      </c>
      <c r="J18" s="3"/>
    </row>
    <row r="19" spans="1:10" ht="16" x14ac:dyDescent="0.2">
      <c r="A19" s="27">
        <v>4</v>
      </c>
      <c r="B19" s="35"/>
      <c r="C19" s="62"/>
      <c r="D19" s="35" t="s">
        <v>55</v>
      </c>
      <c r="E19" s="33">
        <v>1</v>
      </c>
      <c r="F19" s="33">
        <v>599000</v>
      </c>
      <c r="G19" s="33">
        <f t="shared" si="2"/>
        <v>599000</v>
      </c>
      <c r="H19" s="7" t="s">
        <v>81</v>
      </c>
      <c r="I19" s="56" t="b">
        <v>0</v>
      </c>
      <c r="J19" s="3"/>
    </row>
    <row r="20" spans="1:10" ht="16" x14ac:dyDescent="0.2">
      <c r="A20" s="22">
        <v>5</v>
      </c>
      <c r="B20" s="9"/>
      <c r="C20" s="61" t="s">
        <v>63</v>
      </c>
      <c r="D20" s="10" t="s">
        <v>59</v>
      </c>
      <c r="E20" s="11">
        <v>1</v>
      </c>
      <c r="F20" s="12">
        <v>0</v>
      </c>
      <c r="G20" s="8">
        <f t="shared" si="2"/>
        <v>0</v>
      </c>
      <c r="H20" s="7" t="s">
        <v>78</v>
      </c>
      <c r="I20" s="11" t="b">
        <v>1</v>
      </c>
      <c r="J20" s="3"/>
    </row>
    <row r="21" spans="1:10" ht="16" x14ac:dyDescent="0.2">
      <c r="A21" s="22">
        <v>6</v>
      </c>
      <c r="B21" s="9"/>
      <c r="C21" s="61"/>
      <c r="D21" s="10" t="s">
        <v>60</v>
      </c>
      <c r="E21" s="11">
        <v>1</v>
      </c>
      <c r="F21" s="12">
        <v>0</v>
      </c>
      <c r="G21" s="8">
        <f t="shared" si="2"/>
        <v>0</v>
      </c>
      <c r="H21" s="7" t="s">
        <v>78</v>
      </c>
      <c r="I21" s="11" t="b">
        <v>1</v>
      </c>
      <c r="J21" s="3"/>
    </row>
    <row r="22" spans="1:10" ht="24" customHeight="1" x14ac:dyDescent="0.2">
      <c r="A22" s="15" t="s">
        <v>29</v>
      </c>
      <c r="B22" s="16"/>
      <c r="C22" s="16"/>
      <c r="D22" s="16"/>
      <c r="E22" s="16"/>
      <c r="F22" s="16"/>
      <c r="G22" s="16"/>
      <c r="H22" s="16"/>
      <c r="I22" s="16"/>
      <c r="J22" s="17"/>
    </row>
    <row r="23" spans="1:10" ht="16" x14ac:dyDescent="0.2">
      <c r="A23" s="21">
        <v>1</v>
      </c>
      <c r="B23" s="7"/>
      <c r="C23" s="14" t="s">
        <v>30</v>
      </c>
      <c r="D23" s="7" t="s">
        <v>31</v>
      </c>
      <c r="E23" s="8">
        <v>1</v>
      </c>
      <c r="F23" s="8">
        <v>0</v>
      </c>
      <c r="G23" s="8">
        <f>E23*F23</f>
        <v>0</v>
      </c>
      <c r="H23" s="7" t="s">
        <v>83</v>
      </c>
      <c r="I23" s="56" t="b">
        <v>0</v>
      </c>
      <c r="J23" s="3"/>
    </row>
    <row r="24" spans="1:10" ht="16" x14ac:dyDescent="0.2">
      <c r="A24" s="21">
        <v>2</v>
      </c>
      <c r="B24" s="7"/>
      <c r="C24" s="14" t="s">
        <v>32</v>
      </c>
      <c r="D24" s="7" t="s">
        <v>33</v>
      </c>
      <c r="E24" s="8">
        <v>1</v>
      </c>
      <c r="F24" s="8">
        <v>0</v>
      </c>
      <c r="G24" s="8">
        <f t="shared" ref="G24:G27" si="3">E24*F24</f>
        <v>0</v>
      </c>
      <c r="H24" s="7" t="s">
        <v>83</v>
      </c>
      <c r="I24" s="56" t="b">
        <v>0</v>
      </c>
      <c r="J24" s="3"/>
    </row>
    <row r="25" spans="1:10" ht="16" x14ac:dyDescent="0.2">
      <c r="A25" s="21">
        <v>3</v>
      </c>
      <c r="B25" s="7"/>
      <c r="C25" s="14" t="s">
        <v>34</v>
      </c>
      <c r="D25" s="7" t="s">
        <v>35</v>
      </c>
      <c r="E25" s="8">
        <v>0</v>
      </c>
      <c r="F25" s="8">
        <v>0</v>
      </c>
      <c r="G25" s="8">
        <f t="shared" si="3"/>
        <v>0</v>
      </c>
      <c r="H25" s="7" t="s">
        <v>83</v>
      </c>
      <c r="I25" s="56" t="b">
        <v>0</v>
      </c>
      <c r="J25" s="3"/>
    </row>
    <row r="26" spans="1:10" ht="16" x14ac:dyDescent="0.2">
      <c r="A26" s="21">
        <v>4</v>
      </c>
      <c r="B26" s="7"/>
      <c r="C26" s="14" t="s">
        <v>36</v>
      </c>
      <c r="D26" s="7" t="s">
        <v>58</v>
      </c>
      <c r="E26" s="8">
        <v>1</v>
      </c>
      <c r="F26" s="12">
        <v>256000</v>
      </c>
      <c r="G26" s="8">
        <f t="shared" si="3"/>
        <v>256000</v>
      </c>
      <c r="H26" s="7"/>
      <c r="I26" s="56" t="b">
        <v>0</v>
      </c>
      <c r="J26" s="3"/>
    </row>
    <row r="27" spans="1:10" ht="16" x14ac:dyDescent="0.2">
      <c r="A27" s="21">
        <v>5</v>
      </c>
      <c r="B27" s="7"/>
      <c r="C27" s="14" t="s">
        <v>37</v>
      </c>
      <c r="D27" s="7" t="s">
        <v>38</v>
      </c>
      <c r="E27" s="8">
        <v>0</v>
      </c>
      <c r="F27" s="8">
        <v>0</v>
      </c>
      <c r="G27" s="8">
        <f t="shared" si="3"/>
        <v>0</v>
      </c>
      <c r="H27" s="7" t="s">
        <v>83</v>
      </c>
      <c r="I27" s="56" t="b">
        <v>0</v>
      </c>
      <c r="J27" s="3"/>
    </row>
    <row r="28" spans="1:10" ht="24" customHeight="1" x14ac:dyDescent="0.2">
      <c r="A28" s="15" t="s">
        <v>39</v>
      </c>
      <c r="B28" s="16"/>
      <c r="C28" s="16"/>
      <c r="D28" s="16"/>
      <c r="E28" s="16"/>
      <c r="F28" s="16"/>
      <c r="G28" s="16"/>
      <c r="H28" s="16"/>
      <c r="I28" s="16"/>
      <c r="J28" s="17"/>
    </row>
    <row r="29" spans="1:10" ht="16" x14ac:dyDescent="0.2">
      <c r="A29" s="21">
        <v>1</v>
      </c>
      <c r="B29" s="7"/>
      <c r="C29" s="14" t="s">
        <v>40</v>
      </c>
      <c r="D29" s="7" t="s">
        <v>41</v>
      </c>
      <c r="E29" s="8">
        <v>0</v>
      </c>
      <c r="F29" s="8">
        <v>0</v>
      </c>
      <c r="G29" s="8">
        <f>E29*F29</f>
        <v>0</v>
      </c>
      <c r="H29" s="7"/>
      <c r="I29" s="56" t="b">
        <v>0</v>
      </c>
      <c r="J29" s="3"/>
    </row>
    <row r="30" spans="1:10" ht="16" x14ac:dyDescent="0.2">
      <c r="A30" s="21">
        <v>2</v>
      </c>
      <c r="B30" s="7"/>
      <c r="C30" s="14" t="s">
        <v>42</v>
      </c>
      <c r="D30" s="7" t="s">
        <v>43</v>
      </c>
      <c r="E30" s="8">
        <v>0</v>
      </c>
      <c r="F30" s="8">
        <v>0</v>
      </c>
      <c r="G30" s="8">
        <f>E30*F30</f>
        <v>0</v>
      </c>
      <c r="H30" s="7"/>
      <c r="I30" s="56" t="b">
        <v>0</v>
      </c>
      <c r="J30" s="3"/>
    </row>
    <row r="31" spans="1:10" ht="16" x14ac:dyDescent="0.2">
      <c r="A31" s="21">
        <v>3</v>
      </c>
      <c r="B31" s="7"/>
      <c r="C31" s="14" t="s">
        <v>44</v>
      </c>
      <c r="D31" s="7" t="s">
        <v>45</v>
      </c>
      <c r="E31" s="8">
        <v>0</v>
      </c>
      <c r="F31" s="8">
        <v>0</v>
      </c>
      <c r="G31" s="8">
        <f>E31*F31</f>
        <v>0</v>
      </c>
      <c r="H31" s="7"/>
      <c r="I31" s="56" t="b">
        <v>0</v>
      </c>
      <c r="J31" s="3"/>
    </row>
    <row r="32" spans="1:10" ht="24" customHeight="1" x14ac:dyDescent="0.2">
      <c r="A32" s="15" t="s">
        <v>46</v>
      </c>
      <c r="B32" s="16"/>
      <c r="C32" s="16"/>
      <c r="D32" s="16"/>
      <c r="E32" s="16"/>
      <c r="F32" s="16"/>
      <c r="G32" s="16"/>
      <c r="H32" s="16"/>
      <c r="I32" s="16"/>
      <c r="J32" s="17"/>
    </row>
    <row r="33" spans="1:10" ht="16" x14ac:dyDescent="0.2">
      <c r="A33" s="21">
        <v>1</v>
      </c>
      <c r="B33" s="7"/>
      <c r="C33" s="14" t="s">
        <v>47</v>
      </c>
      <c r="D33" s="7" t="s">
        <v>48</v>
      </c>
      <c r="E33" s="8">
        <v>0</v>
      </c>
      <c r="F33" s="8">
        <v>0</v>
      </c>
      <c r="G33" s="8">
        <f>E33*F33</f>
        <v>0</v>
      </c>
      <c r="H33" s="7"/>
      <c r="I33" s="56" t="b">
        <v>0</v>
      </c>
      <c r="J33" s="3"/>
    </row>
    <row r="34" spans="1:10" ht="16" x14ac:dyDescent="0.2">
      <c r="A34" s="21">
        <v>2</v>
      </c>
      <c r="B34" s="7"/>
      <c r="C34" s="14" t="s">
        <v>49</v>
      </c>
      <c r="D34" s="7" t="s">
        <v>50</v>
      </c>
      <c r="E34" s="8">
        <v>0</v>
      </c>
      <c r="F34" s="8">
        <v>0</v>
      </c>
      <c r="G34" s="8">
        <f>E34*F34</f>
        <v>0</v>
      </c>
      <c r="H34" s="7"/>
      <c r="I34" s="56" t="b">
        <v>0</v>
      </c>
      <c r="J34" s="3"/>
    </row>
    <row r="35" spans="1:10" ht="16" x14ac:dyDescent="0.2">
      <c r="A35" s="21">
        <v>3</v>
      </c>
      <c r="B35" s="7"/>
      <c r="C35" s="14" t="s">
        <v>51</v>
      </c>
      <c r="D35" s="7" t="s">
        <v>52</v>
      </c>
      <c r="E35" s="8">
        <v>0</v>
      </c>
      <c r="F35" s="8">
        <v>0</v>
      </c>
      <c r="G35" s="8">
        <f>E35*F35</f>
        <v>0</v>
      </c>
      <c r="H35" s="7"/>
      <c r="I35" s="56" t="b">
        <v>0</v>
      </c>
      <c r="J35" s="3"/>
    </row>
    <row r="36" spans="1:10" ht="24" x14ac:dyDescent="0.3">
      <c r="A36" s="23"/>
      <c r="B36" s="18" t="s">
        <v>53</v>
      </c>
      <c r="C36" s="19"/>
      <c r="D36" s="19"/>
      <c r="E36" s="19"/>
      <c r="F36" s="19"/>
      <c r="G36" s="57">
        <f>SUM(G3:G35)</f>
        <v>4380872.7</v>
      </c>
      <c r="H36" s="63" t="s">
        <v>84</v>
      </c>
      <c r="I36" s="65">
        <f>SUMIF(I3:I35, TRUE,G3:G35)</f>
        <v>0</v>
      </c>
      <c r="J36" s="64"/>
    </row>
    <row r="37" spans="1:10" x14ac:dyDescent="0.2">
      <c r="I37" s="58"/>
      <c r="J37" s="59"/>
    </row>
    <row r="38" spans="1:10" x14ac:dyDescent="0.2">
      <c r="I38" s="58"/>
      <c r="J38" s="59"/>
    </row>
    <row r="39" spans="1:10" x14ac:dyDescent="0.2">
      <c r="I39" s="58"/>
      <c r="J39" s="59"/>
    </row>
    <row r="40" spans="1:10" x14ac:dyDescent="0.2">
      <c r="I40" s="58"/>
      <c r="J40" s="59"/>
    </row>
  </sheetData>
  <mergeCells count="10">
    <mergeCell ref="A28:J28"/>
    <mergeCell ref="B36:F36"/>
    <mergeCell ref="A2:J2"/>
    <mergeCell ref="A9:J9"/>
    <mergeCell ref="A15:J15"/>
    <mergeCell ref="A32:J32"/>
    <mergeCell ref="A22:J22"/>
    <mergeCell ref="C10:C11"/>
    <mergeCell ref="C16:C19"/>
    <mergeCell ref="C20:C2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Check Box 1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7</xdr:row>
                    <xdr:rowOff>12700</xdr:rowOff>
                  </from>
                  <to>
                    <xdr:col>9</xdr:col>
                    <xdr:colOff>1384300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Check Box 2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6</xdr:row>
                    <xdr:rowOff>12700</xdr:rowOff>
                  </from>
                  <to>
                    <xdr:col>9</xdr:col>
                    <xdr:colOff>1384300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Check Box 3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5</xdr:row>
                    <xdr:rowOff>12700</xdr:rowOff>
                  </from>
                  <to>
                    <xdr:col>9</xdr:col>
                    <xdr:colOff>1384300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6" name="Check Box 4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4</xdr:row>
                    <xdr:rowOff>12700</xdr:rowOff>
                  </from>
                  <to>
                    <xdr:col>9</xdr:col>
                    <xdr:colOff>1384300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7" name="Check Box 5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3</xdr:row>
                    <xdr:rowOff>12700</xdr:rowOff>
                  </from>
                  <to>
                    <xdr:col>9</xdr:col>
                    <xdr:colOff>1384300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8" name="Check Box 6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</xdr:row>
                    <xdr:rowOff>12700</xdr:rowOff>
                  </from>
                  <to>
                    <xdr:col>9</xdr:col>
                    <xdr:colOff>1384300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9" name="Check Box 8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13</xdr:row>
                    <xdr:rowOff>12700</xdr:rowOff>
                  </from>
                  <to>
                    <xdr:col>9</xdr:col>
                    <xdr:colOff>1384300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0" name="Check Box 9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12</xdr:row>
                    <xdr:rowOff>12700</xdr:rowOff>
                  </from>
                  <to>
                    <xdr:col>9</xdr:col>
                    <xdr:colOff>1384300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1" name="Check Box 10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11</xdr:row>
                    <xdr:rowOff>12700</xdr:rowOff>
                  </from>
                  <to>
                    <xdr:col>9</xdr:col>
                    <xdr:colOff>1384300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2" name="Check Box 11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10</xdr:row>
                    <xdr:rowOff>12700</xdr:rowOff>
                  </from>
                  <to>
                    <xdr:col>9</xdr:col>
                    <xdr:colOff>1384300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3" name="Check Box 12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9</xdr:row>
                    <xdr:rowOff>12700</xdr:rowOff>
                  </from>
                  <to>
                    <xdr:col>9</xdr:col>
                    <xdr:colOff>1384300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4" name="Check Box 14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20</xdr:row>
                    <xdr:rowOff>12700</xdr:rowOff>
                  </from>
                  <to>
                    <xdr:col>9</xdr:col>
                    <xdr:colOff>1384300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5" name="Check Box 15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19</xdr:row>
                    <xdr:rowOff>12700</xdr:rowOff>
                  </from>
                  <to>
                    <xdr:col>9</xdr:col>
                    <xdr:colOff>1384300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6" name="Check Box 16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18</xdr:row>
                    <xdr:rowOff>12700</xdr:rowOff>
                  </from>
                  <to>
                    <xdr:col>9</xdr:col>
                    <xdr:colOff>1384300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17" name="Check Box 17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17</xdr:row>
                    <xdr:rowOff>12700</xdr:rowOff>
                  </from>
                  <to>
                    <xdr:col>9</xdr:col>
                    <xdr:colOff>1384300</xdr:colOff>
                    <xdr:row>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18" name="Check Box 18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16</xdr:row>
                    <xdr:rowOff>12700</xdr:rowOff>
                  </from>
                  <to>
                    <xdr:col>9</xdr:col>
                    <xdr:colOff>1384300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19" name="Check Box 20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26</xdr:row>
                    <xdr:rowOff>12700</xdr:rowOff>
                  </from>
                  <to>
                    <xdr:col>9</xdr:col>
                    <xdr:colOff>1384300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20" name="Check Box 21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25</xdr:row>
                    <xdr:rowOff>12700</xdr:rowOff>
                  </from>
                  <to>
                    <xdr:col>9</xdr:col>
                    <xdr:colOff>1384300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21" name="Check Box 22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24</xdr:row>
                    <xdr:rowOff>12700</xdr:rowOff>
                  </from>
                  <to>
                    <xdr:col>9</xdr:col>
                    <xdr:colOff>1384300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22" name="Check Box 23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23</xdr:row>
                    <xdr:rowOff>12700</xdr:rowOff>
                  </from>
                  <to>
                    <xdr:col>9</xdr:col>
                    <xdr:colOff>1384300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23" name="Check Box 24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22</xdr:row>
                    <xdr:rowOff>12700</xdr:rowOff>
                  </from>
                  <to>
                    <xdr:col>9</xdr:col>
                    <xdr:colOff>1384300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24" name="Check Box 25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33</xdr:row>
                    <xdr:rowOff>12700</xdr:rowOff>
                  </from>
                  <to>
                    <xdr:col>9</xdr:col>
                    <xdr:colOff>1384300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25" name="Check Box 26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32</xdr:row>
                    <xdr:rowOff>12700</xdr:rowOff>
                  </from>
                  <to>
                    <xdr:col>9</xdr:col>
                    <xdr:colOff>1384300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26" name="Check Box 28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30</xdr:row>
                    <xdr:rowOff>12700</xdr:rowOff>
                  </from>
                  <to>
                    <xdr:col>9</xdr:col>
                    <xdr:colOff>1384300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3" r:id="rId27" name="Check Box 29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29</xdr:row>
                    <xdr:rowOff>12700</xdr:rowOff>
                  </from>
                  <to>
                    <xdr:col>9</xdr:col>
                    <xdr:colOff>1384300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4" r:id="rId28" name="Check Box 30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28</xdr:row>
                    <xdr:rowOff>12700</xdr:rowOff>
                  </from>
                  <to>
                    <xdr:col>9</xdr:col>
                    <xdr:colOff>1384300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0" r:id="rId29" name="Check Box 36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34</xdr:row>
                    <xdr:rowOff>12700</xdr:rowOff>
                  </from>
                  <to>
                    <xdr:col>9</xdr:col>
                    <xdr:colOff>1384300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1" r:id="rId30" name="Check Box 37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15</xdr:row>
                    <xdr:rowOff>12700</xdr:rowOff>
                  </from>
                  <to>
                    <xdr:col>9</xdr:col>
                    <xdr:colOff>1384300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2" r:id="rId31" name="Check Box 38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13</xdr:row>
                    <xdr:rowOff>12700</xdr:rowOff>
                  </from>
                  <to>
                    <xdr:col>9</xdr:col>
                    <xdr:colOff>1384300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3" r:id="rId32" name="Check Box 39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12</xdr:row>
                    <xdr:rowOff>12700</xdr:rowOff>
                  </from>
                  <to>
                    <xdr:col>9</xdr:col>
                    <xdr:colOff>1384300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4" r:id="rId33" name="Check Box 40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11</xdr:row>
                    <xdr:rowOff>12700</xdr:rowOff>
                  </from>
                  <to>
                    <xdr:col>9</xdr:col>
                    <xdr:colOff>1384300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5" r:id="rId34" name="Check Box 41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10</xdr:row>
                    <xdr:rowOff>12700</xdr:rowOff>
                  </from>
                  <to>
                    <xdr:col>9</xdr:col>
                    <xdr:colOff>1384300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6" r:id="rId35" name="Check Box 42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9</xdr:row>
                    <xdr:rowOff>12700</xdr:rowOff>
                  </from>
                  <to>
                    <xdr:col>9</xdr:col>
                    <xdr:colOff>1384300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7" r:id="rId36" name="Check Box 43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15</xdr:row>
                    <xdr:rowOff>12700</xdr:rowOff>
                  </from>
                  <to>
                    <xdr:col>9</xdr:col>
                    <xdr:colOff>1384300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8" r:id="rId37" name="Check Box 44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16</xdr:row>
                    <xdr:rowOff>12700</xdr:rowOff>
                  </from>
                  <to>
                    <xdr:col>9</xdr:col>
                    <xdr:colOff>1384300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9" r:id="rId38" name="Check Box 45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17</xdr:row>
                    <xdr:rowOff>12700</xdr:rowOff>
                  </from>
                  <to>
                    <xdr:col>9</xdr:col>
                    <xdr:colOff>1384300</xdr:colOff>
                    <xdr:row>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0" r:id="rId39" name="Check Box 46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18</xdr:row>
                    <xdr:rowOff>12700</xdr:rowOff>
                  </from>
                  <to>
                    <xdr:col>9</xdr:col>
                    <xdr:colOff>1384300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1" r:id="rId40" name="Check Box 47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19</xdr:row>
                    <xdr:rowOff>12700</xdr:rowOff>
                  </from>
                  <to>
                    <xdr:col>9</xdr:col>
                    <xdr:colOff>1384300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2" r:id="rId41" name="Check Box 48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20</xdr:row>
                    <xdr:rowOff>12700</xdr:rowOff>
                  </from>
                  <to>
                    <xdr:col>9</xdr:col>
                    <xdr:colOff>1384300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3" r:id="rId42" name="Check Box 49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25</xdr:row>
                    <xdr:rowOff>12700</xdr:rowOff>
                  </from>
                  <to>
                    <xdr:col>9</xdr:col>
                    <xdr:colOff>1384300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4" r:id="rId43" name="Check Box 50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26</xdr:row>
                    <xdr:rowOff>12700</xdr:rowOff>
                  </from>
                  <to>
                    <xdr:col>9</xdr:col>
                    <xdr:colOff>1384300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5" r:id="rId44" name="Check Box 51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24</xdr:row>
                    <xdr:rowOff>12700</xdr:rowOff>
                  </from>
                  <to>
                    <xdr:col>9</xdr:col>
                    <xdr:colOff>1384300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6" r:id="rId45" name="Check Box 52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23</xdr:row>
                    <xdr:rowOff>12700</xdr:rowOff>
                  </from>
                  <to>
                    <xdr:col>9</xdr:col>
                    <xdr:colOff>1384300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7" r:id="rId46" name="Check Box 53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22</xdr:row>
                    <xdr:rowOff>12700</xdr:rowOff>
                  </from>
                  <to>
                    <xdr:col>9</xdr:col>
                    <xdr:colOff>1384300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8" r:id="rId47" name="Check Box 54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28</xdr:row>
                    <xdr:rowOff>12700</xdr:rowOff>
                  </from>
                  <to>
                    <xdr:col>9</xdr:col>
                    <xdr:colOff>1384300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9" r:id="rId48" name="Check Box 55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29</xdr:row>
                    <xdr:rowOff>12700</xdr:rowOff>
                  </from>
                  <to>
                    <xdr:col>9</xdr:col>
                    <xdr:colOff>1384300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0" r:id="rId49" name="Check Box 56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30</xdr:row>
                    <xdr:rowOff>12700</xdr:rowOff>
                  </from>
                  <to>
                    <xdr:col>9</xdr:col>
                    <xdr:colOff>1384300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1" r:id="rId50" name="Check Box 57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32</xdr:row>
                    <xdr:rowOff>12700</xdr:rowOff>
                  </from>
                  <to>
                    <xdr:col>9</xdr:col>
                    <xdr:colOff>1384300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2" r:id="rId51" name="Check Box 58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33</xdr:row>
                    <xdr:rowOff>12700</xdr:rowOff>
                  </from>
                  <to>
                    <xdr:col>9</xdr:col>
                    <xdr:colOff>1384300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3" r:id="rId52" name="Check Box 59">
              <controlPr defaultSize="0" autoFill="0" autoLine="0" autoPict="0" altText="Đã thanh toán">
                <anchor moveWithCells="1">
                  <from>
                    <xdr:col>9</xdr:col>
                    <xdr:colOff>127000</xdr:colOff>
                    <xdr:row>34</xdr:row>
                    <xdr:rowOff>12700</xdr:rowOff>
                  </from>
                  <to>
                    <xdr:col>9</xdr:col>
                    <xdr:colOff>1384300</xdr:colOff>
                    <xdr:row>35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EF7A-96A2-1B44-970E-83E765D785E9}">
  <dimension ref="A1:C11"/>
  <sheetViews>
    <sheetView tabSelected="1" zoomScale="326" workbookViewId="0">
      <selection activeCell="C2" sqref="C2"/>
    </sheetView>
  </sheetViews>
  <sheetFormatPr baseColWidth="10" defaultRowHeight="15" x14ac:dyDescent="0.2"/>
  <cols>
    <col min="1" max="1" width="18.5" bestFit="1" customWidth="1"/>
    <col min="2" max="2" width="9.6640625" bestFit="1" customWidth="1"/>
    <col min="3" max="3" width="10.1640625" bestFit="1" customWidth="1"/>
  </cols>
  <sheetData>
    <row r="1" spans="1:3" ht="21" x14ac:dyDescent="0.25">
      <c r="A1" s="48" t="s">
        <v>87</v>
      </c>
      <c r="B1" s="49" t="s">
        <v>84</v>
      </c>
      <c r="C1" s="50" t="s">
        <v>85</v>
      </c>
    </row>
    <row r="2" spans="1:3" ht="16" x14ac:dyDescent="0.2">
      <c r="A2" s="44" t="s">
        <v>67</v>
      </c>
      <c r="B2" s="47">
        <f>'Chi tiết Vận hành ( tháng 4 )'!$G$36</f>
        <v>2593000</v>
      </c>
      <c r="C2" s="43">
        <f>'Chi tiết Vận hành ( tháng 4 )'!$G$36</f>
        <v>2593000</v>
      </c>
    </row>
    <row r="3" spans="1:3" ht="16" x14ac:dyDescent="0.2">
      <c r="A3" s="44" t="s">
        <v>68</v>
      </c>
      <c r="B3" s="47">
        <f>'Chi tiết Vận hành ( tháng 5 )'!$I$36</f>
        <v>2493000</v>
      </c>
      <c r="C3" s="43">
        <f>'Chi tiết Vận hành ( tháng 5 )'!$G$36</f>
        <v>2493000</v>
      </c>
    </row>
    <row r="4" spans="1:3" ht="16" x14ac:dyDescent="0.2">
      <c r="A4" s="45" t="s">
        <v>69</v>
      </c>
      <c r="B4" s="46">
        <f>'Chi tiết Vận hành ( tháng 6 )'!$I$36</f>
        <v>0</v>
      </c>
      <c r="C4" s="43">
        <f>'Chi tiết Vận hành ( tháng 6 )'!$G$36</f>
        <v>4380872.7</v>
      </c>
    </row>
    <row r="5" spans="1:3" ht="16" x14ac:dyDescent="0.2">
      <c r="A5" s="44" t="s">
        <v>70</v>
      </c>
      <c r="B5" s="46"/>
      <c r="C5" s="42"/>
    </row>
    <row r="6" spans="1:3" ht="16" x14ac:dyDescent="0.2">
      <c r="A6" s="44" t="s">
        <v>71</v>
      </c>
      <c r="B6" s="46"/>
      <c r="C6" s="42"/>
    </row>
    <row r="7" spans="1:3" ht="16" x14ac:dyDescent="0.2">
      <c r="A7" s="44" t="s">
        <v>72</v>
      </c>
      <c r="B7" s="46"/>
      <c r="C7" s="42"/>
    </row>
    <row r="8" spans="1:3" ht="16" x14ac:dyDescent="0.2">
      <c r="A8" s="44" t="s">
        <v>73</v>
      </c>
      <c r="B8" s="46"/>
      <c r="C8" s="42"/>
    </row>
    <row r="9" spans="1:3" ht="16" x14ac:dyDescent="0.2">
      <c r="A9" s="44" t="s">
        <v>74</v>
      </c>
      <c r="B9" s="46"/>
      <c r="C9" s="42"/>
    </row>
    <row r="10" spans="1:3" ht="16" x14ac:dyDescent="0.2">
      <c r="A10" s="44" t="s">
        <v>75</v>
      </c>
      <c r="B10" s="46"/>
      <c r="C10" s="42"/>
    </row>
    <row r="11" spans="1:3" ht="21" x14ac:dyDescent="0.25">
      <c r="A11" s="51" t="s">
        <v>86</v>
      </c>
      <c r="B11" s="47">
        <f>SUM(B2:B10)</f>
        <v>5086000</v>
      </c>
      <c r="C11" s="43">
        <f>SUM(C2:C10)</f>
        <v>9466872.6999999993</v>
      </c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 tiết Vận hành ( tháng 4 )</vt:lpstr>
      <vt:lpstr>Chi tiết Vận hành ( tháng 5 )</vt:lpstr>
      <vt:lpstr>Chi tiết Vận hành ( tháng 6 )</vt:lpstr>
      <vt:lpstr>Tổng chi phí đã sử dụng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Đinh Cự</cp:lastModifiedBy>
  <dcterms:created xsi:type="dcterms:W3CDTF">2026-05-09T09:44:57Z</dcterms:created>
  <dcterms:modified xsi:type="dcterms:W3CDTF">2026-05-12T07:03:02Z</dcterms:modified>
</cp:coreProperties>
</file>